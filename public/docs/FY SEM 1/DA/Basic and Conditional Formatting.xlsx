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13_ncr:1_{8543D344-ECEE-48A7-B837-2903F339040B}" xr6:coauthVersionLast="47" xr6:coauthVersionMax="47" xr10:uidLastSave="{00000000-0000-0000-0000-000000000000}"/>
  <bookViews>
    <workbookView xWindow="-108" yWindow="-108" windowWidth="23256" windowHeight="12456" xr2:uid="{544CF5BE-12F8-4EB2-AEFA-8DC7834F2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I4" i="1"/>
  <c r="I5" i="1"/>
  <c r="I6" i="1"/>
  <c r="I7" i="1"/>
  <c r="I8" i="1"/>
  <c r="I3" i="1"/>
  <c r="B19" i="1"/>
  <c r="B15" i="1"/>
  <c r="B14" i="1"/>
  <c r="B16" i="1"/>
  <c r="F5" i="1"/>
  <c r="F6" i="1"/>
  <c r="F7" i="1"/>
  <c r="F8" i="1"/>
  <c r="F4" i="1"/>
  <c r="E8" i="1"/>
  <c r="E4" i="1"/>
  <c r="E5" i="1"/>
  <c r="E6" i="1"/>
  <c r="B17" i="1" s="1"/>
  <c r="E7" i="1"/>
  <c r="E3" i="1"/>
  <c r="D8" i="1"/>
  <c r="D6" i="1"/>
  <c r="D7" i="1"/>
  <c r="D5" i="1"/>
  <c r="B13" i="1" s="1"/>
  <c r="D4" i="1"/>
  <c r="B12" i="1" s="1"/>
  <c r="D3" i="1"/>
  <c r="B18" i="1" s="1"/>
  <c r="B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1D546-36B9-42EA-B9DA-E1DD5982AEA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<sst xmlns="http://schemas.openxmlformats.org/spreadsheetml/2006/main" count="38" uniqueCount="38">
  <si>
    <t>Product Name</t>
  </si>
  <si>
    <t>Price</t>
  </si>
  <si>
    <t>Total Sales</t>
  </si>
  <si>
    <t>Quantity</t>
  </si>
  <si>
    <t>Disprin</t>
  </si>
  <si>
    <t>Dolo</t>
  </si>
  <si>
    <t>Cetrizine</t>
  </si>
  <si>
    <t>Becapsules</t>
  </si>
  <si>
    <t>Colpol</t>
  </si>
  <si>
    <t>Discount</t>
  </si>
  <si>
    <t>Discounted Price</t>
  </si>
  <si>
    <t>Mixed Reference</t>
  </si>
  <si>
    <t>Relative Reference</t>
  </si>
  <si>
    <t>Absolute Reference</t>
  </si>
  <si>
    <t>sum</t>
  </si>
  <si>
    <t>average</t>
  </si>
  <si>
    <t>prod</t>
  </si>
  <si>
    <t>lower</t>
  </si>
  <si>
    <t>upper</t>
  </si>
  <si>
    <t>max</t>
  </si>
  <si>
    <t>min</t>
  </si>
  <si>
    <t>count</t>
  </si>
  <si>
    <t>Splitting</t>
  </si>
  <si>
    <t>Concatenation</t>
  </si>
  <si>
    <t>Dis</t>
  </si>
  <si>
    <t>prin</t>
  </si>
  <si>
    <t>Do</t>
  </si>
  <si>
    <t>lo</t>
  </si>
  <si>
    <t>Cet</t>
  </si>
  <si>
    <t>rizine</t>
  </si>
  <si>
    <t>Crocin</t>
  </si>
  <si>
    <t>Advance</t>
  </si>
  <si>
    <t>Becap</t>
  </si>
  <si>
    <t>sules</t>
  </si>
  <si>
    <t>Colp</t>
  </si>
  <si>
    <t>ol</t>
  </si>
  <si>
    <t>#</t>
  </si>
  <si>
    <t>Crocin 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</si>
</sst>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4" formatCode="#,##0.00"/>
    </dxf>
    <dxf>
      <numFmt numFmtId="164" formatCode="[$₹-4009]\ #,##0.00"/>
    </dxf>
    <dxf>
      <numFmt numFmtId="164" formatCode="[$₹-4009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53C7A-3CAF-41B8-A85C-5A11F444A119}" name="Table1" displayName="Table1" ref="A2:F8" totalsRowShown="0">
  <autoFilter ref="A2:F8" xr:uid="{F0553C7A-3CAF-41B8-A85C-5A11F444A119}"/>
  <tableColumns count="6">
    <tableColumn id="1" xr3:uid="{7BDA222F-EDCF-4D4A-934C-06A70C6454D2}" name="Product Name"/>
    <tableColumn id="2" xr3:uid="{078DA09A-87A9-4088-9B2B-ADE14953F182}" name="Quantity"/>
    <tableColumn id="3" xr3:uid="{2442F14C-10BD-4F5D-8C53-8B160886EE4A}" name="Price" dataDxfId="8"/>
    <tableColumn id="4" xr3:uid="{289928A3-E729-41F2-A743-C13577070707}" name="Discounted Price" dataDxfId="7">
      <calculatedColumnFormula>$C3-$F$3*$C3</calculatedColumnFormula>
    </tableColumn>
    <tableColumn id="5" xr3:uid="{B1F8CCFC-EF31-4582-B4B0-8E63768F2477}" name="Total Sales" dataDxfId="6">
      <calculatedColumnFormula>B3*C3</calculatedColumnFormula>
    </tableColumn>
    <tableColumn id="6" xr3:uid="{76CF3F8A-C35F-41B8-B7C2-D843D4C1C1D1}" name="Discount" dataDxfId="5">
      <calculatedColumnFormula>$F$3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2B01-8C24-4573-B23D-E9B4A5F79BC8}">
  <dimension ref="A1:J23"/>
  <sheetViews>
    <sheetView tabSelected="1" workbookViewId="0">
      <selection activeCell="M15" sqref="M15"/>
    </sheetView>
  </sheetViews>
  <sheetFormatPr defaultRowHeight="14.4" x14ac:dyDescent="0.3"/>
  <cols>
    <col min="1" max="1" width="15" customWidth="1"/>
    <col min="2" max="2" width="19.88671875" bestFit="1" customWidth="1"/>
    <col min="3" max="3" width="7" style="1" bestFit="1" customWidth="1"/>
    <col min="4" max="4" width="16.88671875" style="1" customWidth="1"/>
    <col min="5" max="5" width="16.44140625" style="2" bestFit="1" customWidth="1"/>
    <col min="6" max="6" width="17" bestFit="1" customWidth="1"/>
    <col min="9" max="9" width="14.6640625" bestFit="1" customWidth="1"/>
  </cols>
  <sheetData>
    <row r="1" spans="1:10" x14ac:dyDescent="0.3">
      <c r="D1" s="5" t="s">
        <v>11</v>
      </c>
      <c r="E1" s="6" t="s">
        <v>12</v>
      </c>
      <c r="F1" s="4" t="s">
        <v>13</v>
      </c>
    </row>
    <row r="2" spans="1:10" x14ac:dyDescent="0.3">
      <c r="A2" t="s">
        <v>0</v>
      </c>
      <c r="B2" t="s">
        <v>3</v>
      </c>
      <c r="C2" s="1" t="s">
        <v>1</v>
      </c>
      <c r="D2" s="1" t="s">
        <v>10</v>
      </c>
      <c r="E2" s="2" t="s">
        <v>2</v>
      </c>
      <c r="F2" t="s">
        <v>9</v>
      </c>
    </row>
    <row r="3" spans="1:10" x14ac:dyDescent="0.3">
      <c r="A3" t="s">
        <v>4</v>
      </c>
      <c r="B3">
        <v>100</v>
      </c>
      <c r="C3" s="1">
        <v>7</v>
      </c>
      <c r="D3" s="1">
        <f>$C3-$F$3*$C3</f>
        <v>6.79</v>
      </c>
      <c r="E3" s="2">
        <f>B3*C3</f>
        <v>700</v>
      </c>
      <c r="F3" s="3">
        <v>0.03</v>
      </c>
      <c r="I3" t="str">
        <f>_xlfn.CONCAT($I$14,A3)</f>
        <v>#Disprin</v>
      </c>
    </row>
    <row r="4" spans="1:10" x14ac:dyDescent="0.3">
      <c r="A4" t="s">
        <v>5</v>
      </c>
      <c r="B4">
        <v>150</v>
      </c>
      <c r="C4" s="1">
        <v>10</v>
      </c>
      <c r="D4" s="1">
        <f t="shared" ref="D4:D8" si="0">$C4-$F$3*$C4</f>
        <v>9.6999999999999993</v>
      </c>
      <c r="E4" s="2">
        <f t="shared" ref="E4:E8" si="1">B4*C4</f>
        <v>1500</v>
      </c>
      <c r="F4" s="3">
        <f>$F$3</f>
        <v>0.03</v>
      </c>
      <c r="I4" t="str">
        <f t="shared" ref="I4:I8" si="2">_xlfn.CONCAT($I$14,A4)</f>
        <v>#Dolo</v>
      </c>
    </row>
    <row r="5" spans="1:10" x14ac:dyDescent="0.3">
      <c r="A5" t="s">
        <v>6</v>
      </c>
      <c r="B5">
        <v>200</v>
      </c>
      <c r="C5" s="1">
        <v>12</v>
      </c>
      <c r="D5" s="1">
        <f t="shared" si="0"/>
        <v>11.64</v>
      </c>
      <c r="E5" s="2">
        <f t="shared" si="1"/>
        <v>2400</v>
      </c>
      <c r="F5" s="3">
        <f t="shared" ref="F5:F8" si="3">$F$3</f>
        <v>0.03</v>
      </c>
      <c r="I5" t="str">
        <f t="shared" si="2"/>
        <v>#Cetrizine</v>
      </c>
    </row>
    <row r="6" spans="1:10" x14ac:dyDescent="0.3">
      <c r="A6" t="s">
        <v>37</v>
      </c>
      <c r="B6">
        <v>100</v>
      </c>
      <c r="C6" s="1">
        <v>10</v>
      </c>
      <c r="D6" s="1">
        <f t="shared" si="0"/>
        <v>9.6999999999999993</v>
      </c>
      <c r="E6" s="2">
        <f t="shared" si="1"/>
        <v>1000</v>
      </c>
      <c r="F6" s="3">
        <f t="shared" si="3"/>
        <v>0.03</v>
      </c>
      <c r="I6" t="str">
        <f t="shared" si="2"/>
        <v>#Crocin  Advance</v>
      </c>
    </row>
    <row r="7" spans="1:10" x14ac:dyDescent="0.3">
      <c r="A7" t="s">
        <v>7</v>
      </c>
      <c r="B7">
        <v>250</v>
      </c>
      <c r="C7" s="1">
        <v>20</v>
      </c>
      <c r="D7" s="1">
        <f t="shared" si="0"/>
        <v>19.399999999999999</v>
      </c>
      <c r="E7" s="2">
        <f t="shared" si="1"/>
        <v>5000</v>
      </c>
      <c r="F7" s="3">
        <f t="shared" si="3"/>
        <v>0.03</v>
      </c>
      <c r="I7" t="str">
        <f t="shared" si="2"/>
        <v>#Becapsules</v>
      </c>
    </row>
    <row r="8" spans="1:10" x14ac:dyDescent="0.3">
      <c r="A8" t="s">
        <v>8</v>
      </c>
      <c r="B8">
        <v>100</v>
      </c>
      <c r="C8" s="1">
        <v>25</v>
      </c>
      <c r="D8" s="1">
        <f t="shared" si="0"/>
        <v>24.25</v>
      </c>
      <c r="E8" s="2">
        <f t="shared" si="1"/>
        <v>2500</v>
      </c>
      <c r="F8" s="3">
        <f t="shared" si="3"/>
        <v>0.03</v>
      </c>
      <c r="I8" t="str">
        <f t="shared" si="2"/>
        <v>#Colpol</v>
      </c>
    </row>
    <row r="11" spans="1:10" x14ac:dyDescent="0.3">
      <c r="A11" s="4" t="s">
        <v>14</v>
      </c>
      <c r="B11" s="1">
        <f>C3+D3</f>
        <v>13.79</v>
      </c>
      <c r="J11">
        <v>100</v>
      </c>
    </row>
    <row r="12" spans="1:10" x14ac:dyDescent="0.3">
      <c r="A12" s="4" t="s">
        <v>15</v>
      </c>
      <c r="B12" s="1">
        <f>(C4+D4)/2</f>
        <v>9.85</v>
      </c>
      <c r="F12" s="4" t="s">
        <v>22</v>
      </c>
      <c r="J12">
        <v>150</v>
      </c>
    </row>
    <row r="13" spans="1:10" x14ac:dyDescent="0.3">
      <c r="A13" s="4" t="s">
        <v>16</v>
      </c>
      <c r="B13">
        <f>C5*D5</f>
        <v>139.68</v>
      </c>
      <c r="F13" t="s">
        <v>24</v>
      </c>
      <c r="G13" t="s">
        <v>25</v>
      </c>
      <c r="J13">
        <v>200</v>
      </c>
    </row>
    <row r="14" spans="1:10" x14ac:dyDescent="0.3">
      <c r="A14" s="4" t="s">
        <v>17</v>
      </c>
      <c r="B14" s="1" t="str">
        <f>LOWER(A3)</f>
        <v>disprin</v>
      </c>
      <c r="F14" t="s">
        <v>26</v>
      </c>
      <c r="G14" t="s">
        <v>27</v>
      </c>
      <c r="I14" t="s">
        <v>36</v>
      </c>
      <c r="J14">
        <v>100</v>
      </c>
    </row>
    <row r="15" spans="1:10" x14ac:dyDescent="0.3">
      <c r="A15" s="4" t="s">
        <v>18</v>
      </c>
      <c r="B15" t="str">
        <f>UPPER(A6)</f>
        <v>CROCIN  ADVANCE</v>
      </c>
      <c r="F15" t="s">
        <v>28</v>
      </c>
      <c r="G15" t="s">
        <v>29</v>
      </c>
      <c r="J15">
        <v>250</v>
      </c>
    </row>
    <row r="16" spans="1:10" x14ac:dyDescent="0.3">
      <c r="A16" s="4" t="s">
        <v>19</v>
      </c>
      <c r="B16" s="1">
        <f>MAX(C3:C8)</f>
        <v>25</v>
      </c>
      <c r="F16" t="s">
        <v>30</v>
      </c>
      <c r="G16" t="s">
        <v>31</v>
      </c>
      <c r="J16">
        <v>100</v>
      </c>
    </row>
    <row r="17" spans="1:10" x14ac:dyDescent="0.3">
      <c r="A17" s="4" t="s">
        <v>20</v>
      </c>
      <c r="B17" s="2">
        <f>MIN(E3:E8)</f>
        <v>700</v>
      </c>
      <c r="F17" t="s">
        <v>32</v>
      </c>
      <c r="G17" t="s">
        <v>33</v>
      </c>
      <c r="J17">
        <v>10</v>
      </c>
    </row>
    <row r="18" spans="1:10" x14ac:dyDescent="0.3">
      <c r="A18" s="4" t="s">
        <v>21</v>
      </c>
      <c r="B18">
        <f>COUNT(D3:D8)</f>
        <v>6</v>
      </c>
      <c r="F18" t="s">
        <v>34</v>
      </c>
      <c r="G18" t="s">
        <v>35</v>
      </c>
      <c r="J18">
        <v>70</v>
      </c>
    </row>
    <row r="19" spans="1:10" x14ac:dyDescent="0.3">
      <c r="A19" s="4" t="s">
        <v>23</v>
      </c>
      <c r="B19" t="str">
        <f>_xlfn.CONCAT(A2,B2)</f>
        <v>Product NameQuantity</v>
      </c>
    </row>
    <row r="22" spans="1:10" x14ac:dyDescent="0.3">
      <c r="D22" s="1" t="str">
        <f>TRIM(A6)</f>
        <v>Crocin Advance</v>
      </c>
    </row>
    <row r="23" spans="1:10" x14ac:dyDescent="0.3">
      <c r="D23" s="1" t="str">
        <f>SUBSTITUTE(A8,"Colpol","Benadryl")</f>
        <v>Benadryl</v>
      </c>
    </row>
  </sheetData>
  <conditionalFormatting sqref="B3:B8">
    <cfRule type="cellIs" dxfId="4" priority="7" operator="greaterThan">
      <formula>175</formula>
    </cfRule>
  </conditionalFormatting>
  <conditionalFormatting sqref="C3:C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8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{26D5D114-7BC9-432B-AE64-82B7E62F7F6A}</x14:id>
        </ext>
      </extLst>
    </cfRule>
  </conditionalFormatting>
  <conditionalFormatting sqref="E3:E8">
    <cfRule type="top10" dxfId="3" priority="5" rank="10"/>
    <cfRule type="top10" dxfId="2" priority="6" rank="3"/>
  </conditionalFormatting>
  <conditionalFormatting sqref="J3:J8">
    <cfRule type="cellIs" dxfId="1" priority="2" operator="greaterThan">
      <formula>175</formula>
    </cfRule>
  </conditionalFormatting>
  <conditionalFormatting sqref="J10">
    <cfRule type="cellIs" dxfId="0" priority="8" operator="greaterThan">
      <formula>100</formula>
    </cfRule>
  </conditionalFormatting>
  <conditionalFormatting sqref="J11:J18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D5D114-7BC9-432B-AE64-82B7E62F7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9D80E-DFF5-48F1-86A9-11F9C4FD4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2024-11-15T10:35:42Z</dcterms:created>
  <dcterms:modified xsi:type="dcterms:W3CDTF">2024-12-17T17:08:35Z</dcterms:modified>
</cp:coreProperties>
</file>