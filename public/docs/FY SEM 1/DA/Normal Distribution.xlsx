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L\ABHI\VIT\DA\"/>
    </mc:Choice>
  </mc:AlternateContent>
  <xr:revisionPtr revIDLastSave="0" documentId="8_{80A6DA78-B6BC-4F3A-8609-2E6770AD07DD}" xr6:coauthVersionLast="47" xr6:coauthVersionMax="47" xr10:uidLastSave="{00000000-0000-0000-0000-000000000000}"/>
  <bookViews>
    <workbookView xWindow="-108" yWindow="-108" windowWidth="23256" windowHeight="12456" xr2:uid="{69AD402C-3B6F-4555-BD03-D04A3064B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3" i="1"/>
  <c r="H2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1" i="1"/>
  <c r="H22" i="1"/>
  <c r="H23" i="1"/>
  <c r="G2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D3" i="1"/>
  <c r="C3" i="1"/>
</calcChain>
</file>

<file path=xl/sharedStrings.xml><?xml version="1.0" encoding="utf-8"?>
<sst xmlns="http://schemas.openxmlformats.org/spreadsheetml/2006/main" count="7" uniqueCount="6">
  <si>
    <t>Marks</t>
  </si>
  <si>
    <t>Mean</t>
  </si>
  <si>
    <t>Standard Deviation</t>
  </si>
  <si>
    <t>Probability Density</t>
  </si>
  <si>
    <t>Cumulative Probability</t>
  </si>
  <si>
    <t>Cumulative Probability (To Find 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</si>
</sst>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Marks</a:t>
            </a:r>
          </a:p>
          <a:p>
            <a:pPr>
              <a:defRPr/>
            </a:pPr>
            <a:r>
              <a:rPr lang="en-US"/>
              <a:t>X~N(80.2,</a:t>
            </a:r>
            <a:r>
              <a:rPr lang="en-US" baseline="0"/>
              <a:t> 8.818163074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Sheet1!$I$2</c:f>
              <c:strCache>
                <c:ptCount val="1"/>
                <c:pt idx="0">
                  <c:v>Cumulative Probability (To Find Area)</c:v>
                </c:pt>
              </c:strCache>
            </c:strRef>
          </c:tx>
          <c:spPr>
            <a:solidFill>
              <a:schemeClr val="accent1">
                <a:lumMod val="50000"/>
                <a:alpha val="20000"/>
              </a:schemeClr>
            </a:solidFill>
            <a:ln>
              <a:noFill/>
            </a:ln>
            <a:effectLst/>
          </c:spPr>
          <c:cat>
            <c:numRef>
              <c:f>Sheet1!$F$3:$F$23</c:f>
              <c:numCache>
                <c:formatCode>General</c:formatCode>
                <c:ptCount val="21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</c:numCache>
            </c:numRef>
          </c:cat>
          <c:val>
            <c:numRef>
              <c:f>Sheet1!$I$3:$I$23</c:f>
              <c:numCache>
                <c:formatCode>General</c:formatCode>
                <c:ptCount val="21"/>
                <c:pt idx="0">
                  <c:v>3.2814623909446241E-3</c:v>
                </c:pt>
                <c:pt idx="1">
                  <c:v>5.3769233062350005E-3</c:v>
                </c:pt>
                <c:pt idx="2">
                  <c:v>8.3687385787062397E-3</c:v>
                </c:pt>
                <c:pt idx="3">
                  <c:v>1.2372170894826475E-2</c:v>
                </c:pt>
                <c:pt idx="4">
                  <c:v>1.7373669979847909E-2</c:v>
                </c:pt>
                <c:pt idx="5">
                  <c:v>2.3173785030746762E-2</c:v>
                </c:pt>
                <c:pt idx="6">
                  <c:v>2.9360410892460033E-2</c:v>
                </c:pt>
                <c:pt idx="7">
                  <c:v>3.5333530436092268E-2</c:v>
                </c:pt>
                <c:pt idx="8">
                  <c:v>4.0389798462485867E-2</c:v>
                </c:pt>
                <c:pt idx="9">
                  <c:v>4.3854694293170168E-2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-100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18-43BC-8AD3-8419A2231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505264"/>
        <c:axId val="1882498544"/>
      </c:areaChart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Probability Density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Sheet1!$F$3:$F$23</c:f>
              <c:numCache>
                <c:formatCode>General</c:formatCode>
                <c:ptCount val="21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</c:numCache>
            </c:numRef>
          </c:cat>
          <c:val>
            <c:numRef>
              <c:f>Sheet1!$G$3:$G$23</c:f>
              <c:numCache>
                <c:formatCode>General</c:formatCode>
                <c:ptCount val="21"/>
                <c:pt idx="0">
                  <c:v>3.2814623909446241E-3</c:v>
                </c:pt>
                <c:pt idx="1">
                  <c:v>5.3769233062350005E-3</c:v>
                </c:pt>
                <c:pt idx="2">
                  <c:v>8.3687385787062397E-3</c:v>
                </c:pt>
                <c:pt idx="3">
                  <c:v>1.2372170894826475E-2</c:v>
                </c:pt>
                <c:pt idx="4">
                  <c:v>1.7373669979847909E-2</c:v>
                </c:pt>
                <c:pt idx="5">
                  <c:v>2.3173785030746762E-2</c:v>
                </c:pt>
                <c:pt idx="6">
                  <c:v>2.9360410892460033E-2</c:v>
                </c:pt>
                <c:pt idx="7">
                  <c:v>3.5333530436092268E-2</c:v>
                </c:pt>
                <c:pt idx="8">
                  <c:v>4.0389798462485867E-2</c:v>
                </c:pt>
                <c:pt idx="9">
                  <c:v>4.3854694293170168E-2</c:v>
                </c:pt>
                <c:pt idx="10">
                  <c:v>4.5229338767812363E-2</c:v>
                </c:pt>
                <c:pt idx="11">
                  <c:v>4.4308203139944907E-2</c:v>
                </c:pt>
                <c:pt idx="12">
                  <c:v>4.1229473279554708E-2</c:v>
                </c:pt>
                <c:pt idx="13">
                  <c:v>3.6441075321911737E-2</c:v>
                </c:pt>
                <c:pt idx="14">
                  <c:v>3.0593863878314465E-2</c:v>
                </c:pt>
                <c:pt idx="15">
                  <c:v>2.4397044878751821E-2</c:v>
                </c:pt>
                <c:pt idx="16">
                  <c:v>1.8479910731590301E-2</c:v>
                </c:pt>
                <c:pt idx="17">
                  <c:v>1.329603843282488E-2</c:v>
                </c:pt>
                <c:pt idx="18">
                  <c:v>9.0866626217385119E-3</c:v>
                </c:pt>
                <c:pt idx="19">
                  <c:v>5.8985639738174077E-3</c:v>
                </c:pt>
                <c:pt idx="20">
                  <c:v>3.637038793769809E-3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D18-43BC-8AD3-8419A2231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505264"/>
        <c:axId val="1882498544"/>
      </c:lineChart>
      <c:catAx>
        <c:axId val="188250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 - 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498544"/>
        <c:crosses val="autoZero"/>
        <c:auto val="1"/>
        <c:lblAlgn val="ctr"/>
        <c:lblOffset val="100"/>
        <c:noMultiLvlLbl val="0"/>
      </c:catAx>
      <c:valAx>
        <c:axId val="188249854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Probability </a:t>
                </a:r>
                <a:r>
                  <a:rPr lang="en-US"/>
                  <a:t>Density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0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Cumulative Probability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Sheet1!$F$3:$F$23</c:f>
              <c:numCache>
                <c:formatCode>General</c:formatCode>
                <c:ptCount val="21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</c:numCache>
            </c:numRef>
          </c:cat>
          <c:val>
            <c:numRef>
              <c:f>Sheet1!$H$3:$H$23</c:f>
              <c:numCache>
                <c:formatCode>General</c:formatCode>
                <c:ptCount val="21"/>
                <c:pt idx="0">
                  <c:v>1.098961793550329E-2</c:v>
                </c:pt>
                <c:pt idx="1">
                  <c:v>1.951256036354981E-2</c:v>
                </c:pt>
                <c:pt idx="2">
                  <c:v>3.3096289861096702E-2</c:v>
                </c:pt>
                <c:pt idx="3">
                  <c:v>5.3664803904932744E-2</c:v>
                </c:pt>
                <c:pt idx="4">
                  <c:v>8.3254563400107118E-2</c:v>
                </c:pt>
                <c:pt idx="5">
                  <c:v>0.12369676173807927</c:v>
                </c:pt>
                <c:pt idx="6">
                  <c:v>0.1762117204843146</c:v>
                </c:pt>
                <c:pt idx="7">
                  <c:v>0.24099849891681063</c:v>
                </c:pt>
                <c:pt idx="8">
                  <c:v>0.31693401107271291</c:v>
                </c:pt>
                <c:pt idx="9">
                  <c:v>0.40149279553226247</c:v>
                </c:pt>
                <c:pt idx="10">
                  <c:v>0.49095258101213241</c:v>
                </c:pt>
                <c:pt idx="11">
                  <c:v>0.58087175680708669</c:v>
                </c:pt>
                <c:pt idx="12">
                  <c:v>0.66673991129918897</c:v>
                </c:pt>
                <c:pt idx="13">
                  <c:v>0.74464525793796277</c:v>
                </c:pt>
                <c:pt idx="14">
                  <c:v>0.81179706058472112</c:v>
                </c:pt>
                <c:pt idx="15">
                  <c:v>0.86678953857482732</c:v>
                </c:pt>
                <c:pt idx="16">
                  <c:v>0.90957576732380951</c:v>
                </c:pt>
                <c:pt idx="17">
                  <c:v>0.94120289193855367</c:v>
                </c:pt>
                <c:pt idx="18">
                  <c:v>0.96341400102571972</c:v>
                </c:pt>
                <c:pt idx="19">
                  <c:v>0.97823356556745322</c:v>
                </c:pt>
                <c:pt idx="20">
                  <c:v>0.98762766397680057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6-4750-9058-EF0AC22FA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033696"/>
        <c:axId val="2089029856"/>
      </c:lineChart>
      <c:catAx>
        <c:axId val="208903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029856"/>
        <c:crosses val="autoZero"/>
        <c:auto val="1"/>
        <c:lblAlgn val="ctr"/>
        <c:lblOffset val="100"/>
        <c:noMultiLvlLbl val="0"/>
      </c:catAx>
      <c:valAx>
        <c:axId val="20890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03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7620</xdr:rowOff>
    </xdr:from>
    <xdr:to>
      <xdr:col>17</xdr:col>
      <xdr:colOff>304800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052549-BD9E-FEBA-3C4E-3B03ED360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441960</xdr:colOff>
      <xdr:row>1</xdr:row>
      <xdr:rowOff>0</xdr:rowOff>
    </xdr:from>
    <xdr:to>
      <xdr:col>30</xdr:col>
      <xdr:colOff>137160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A39F43-BF1A-55CF-A4DD-8F8D327F3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44E6-3983-47E4-B3BD-4D012E79132D}">
  <dimension ref="A1:I23"/>
  <sheetViews>
    <sheetView tabSelected="1" topLeftCell="D4" zoomScale="71" workbookViewId="0">
      <selection activeCell="L30" sqref="L30"/>
    </sheetView>
  </sheetViews>
  <sheetFormatPr defaultRowHeight="14.4" x14ac:dyDescent="0.3"/>
  <cols>
    <col min="4" max="4" width="17" bestFit="1" customWidth="1"/>
    <col min="7" max="7" width="16.88671875" bestFit="1" customWidth="1"/>
    <col min="8" max="8" width="20.33203125" bestFit="1" customWidth="1"/>
    <col min="9" max="9" width="32.33203125" bestFit="1" customWidth="1"/>
  </cols>
  <sheetData>
    <row r="1" spans="1:9" x14ac:dyDescent="0.3">
      <c r="A1" s="1" t="s">
        <v>0</v>
      </c>
    </row>
    <row r="2" spans="1:9" x14ac:dyDescent="0.3">
      <c r="A2" s="2">
        <v>85</v>
      </c>
      <c r="C2" s="1" t="s">
        <v>1</v>
      </c>
      <c r="D2" s="3" t="s">
        <v>2</v>
      </c>
      <c r="F2" s="1" t="s">
        <v>0</v>
      </c>
      <c r="G2" s="4" t="s">
        <v>3</v>
      </c>
      <c r="H2" s="4" t="s">
        <v>4</v>
      </c>
      <c r="I2" s="4" t="s">
        <v>5</v>
      </c>
    </row>
    <row r="3" spans="1:9" x14ac:dyDescent="0.3">
      <c r="A3" s="2">
        <v>92</v>
      </c>
      <c r="C3">
        <f>AVERAGE(A2:A11)</f>
        <v>80.2</v>
      </c>
      <c r="D3">
        <f>_xlfn.STDEV.P(A2:A11)</f>
        <v>8.8181630740194414</v>
      </c>
      <c r="F3">
        <v>60</v>
      </c>
      <c r="G3">
        <f>_xlfn.NORM.DIST(F3,$C$3,$D$3,FALSE)</f>
        <v>3.2814623909446241E-3</v>
      </c>
      <c r="H3">
        <f>_xlfn.NORM.DIST(F3,$C$3,$D$3,TRUE)</f>
        <v>1.098961793550329E-2</v>
      </c>
      <c r="I3">
        <f>IF(F3&lt;=78,G3,-100)</f>
        <v>3.2814623909446241E-3</v>
      </c>
    </row>
    <row r="4" spans="1:9" x14ac:dyDescent="0.3">
      <c r="A4" s="2">
        <v>78</v>
      </c>
      <c r="F4">
        <v>62</v>
      </c>
      <c r="G4">
        <f t="shared" ref="G4:G23" si="0">_xlfn.NORM.DIST(F4,$C$3,$D$3,FALSE)</f>
        <v>5.3769233062350005E-3</v>
      </c>
      <c r="H4">
        <f t="shared" ref="H4:H23" si="1">_xlfn.NORM.DIST(F4,$C$3,$D$3,TRUE)</f>
        <v>1.951256036354981E-2</v>
      </c>
      <c r="I4">
        <f t="shared" ref="I4:I23" si="2">IF(F4&lt;=78,G4,-100)</f>
        <v>5.3769233062350005E-3</v>
      </c>
    </row>
    <row r="5" spans="1:9" x14ac:dyDescent="0.3">
      <c r="A5" s="2">
        <v>65</v>
      </c>
      <c r="F5">
        <v>64</v>
      </c>
      <c r="G5">
        <f t="shared" si="0"/>
        <v>8.3687385787062397E-3</v>
      </c>
      <c r="H5">
        <f t="shared" si="1"/>
        <v>3.3096289861096702E-2</v>
      </c>
      <c r="I5">
        <f t="shared" si="2"/>
        <v>8.3687385787062397E-3</v>
      </c>
    </row>
    <row r="6" spans="1:9" x14ac:dyDescent="0.3">
      <c r="A6" s="2">
        <v>88</v>
      </c>
      <c r="F6">
        <v>66</v>
      </c>
      <c r="G6">
        <f t="shared" si="0"/>
        <v>1.2372170894826475E-2</v>
      </c>
      <c r="H6">
        <f t="shared" si="1"/>
        <v>5.3664803904932744E-2</v>
      </c>
      <c r="I6">
        <f t="shared" si="2"/>
        <v>1.2372170894826475E-2</v>
      </c>
    </row>
    <row r="7" spans="1:9" x14ac:dyDescent="0.3">
      <c r="A7" s="2">
        <v>73</v>
      </c>
      <c r="F7">
        <v>68</v>
      </c>
      <c r="G7">
        <f t="shared" si="0"/>
        <v>1.7373669979847909E-2</v>
      </c>
      <c r="H7">
        <f t="shared" si="1"/>
        <v>8.3254563400107118E-2</v>
      </c>
      <c r="I7">
        <f t="shared" si="2"/>
        <v>1.7373669979847909E-2</v>
      </c>
    </row>
    <row r="8" spans="1:9" x14ac:dyDescent="0.3">
      <c r="A8" s="2">
        <v>91</v>
      </c>
      <c r="F8">
        <v>70</v>
      </c>
      <c r="G8">
        <f t="shared" si="0"/>
        <v>2.3173785030746762E-2</v>
      </c>
      <c r="H8">
        <f t="shared" si="1"/>
        <v>0.12369676173807927</v>
      </c>
      <c r="I8">
        <f t="shared" si="2"/>
        <v>2.3173785030746762E-2</v>
      </c>
    </row>
    <row r="9" spans="1:9" x14ac:dyDescent="0.3">
      <c r="A9" s="2">
        <v>77</v>
      </c>
      <c r="F9">
        <v>72</v>
      </c>
      <c r="G9">
        <f t="shared" si="0"/>
        <v>2.9360410892460033E-2</v>
      </c>
      <c r="H9">
        <f t="shared" si="1"/>
        <v>0.1762117204843146</v>
      </c>
      <c r="I9">
        <f t="shared" si="2"/>
        <v>2.9360410892460033E-2</v>
      </c>
    </row>
    <row r="10" spans="1:9" x14ac:dyDescent="0.3">
      <c r="A10" s="2">
        <v>69</v>
      </c>
      <c r="F10">
        <v>74</v>
      </c>
      <c r="G10">
        <f t="shared" si="0"/>
        <v>3.5333530436092268E-2</v>
      </c>
      <c r="H10">
        <f t="shared" si="1"/>
        <v>0.24099849891681063</v>
      </c>
      <c r="I10">
        <f t="shared" si="2"/>
        <v>3.5333530436092268E-2</v>
      </c>
    </row>
    <row r="11" spans="1:9" x14ac:dyDescent="0.3">
      <c r="A11" s="2">
        <v>84</v>
      </c>
      <c r="F11">
        <v>76</v>
      </c>
      <c r="G11">
        <f t="shared" si="0"/>
        <v>4.0389798462485867E-2</v>
      </c>
      <c r="H11">
        <f t="shared" si="1"/>
        <v>0.31693401107271291</v>
      </c>
      <c r="I11">
        <f t="shared" si="2"/>
        <v>4.0389798462485867E-2</v>
      </c>
    </row>
    <row r="12" spans="1:9" x14ac:dyDescent="0.3">
      <c r="F12">
        <v>78</v>
      </c>
      <c r="G12">
        <f t="shared" si="0"/>
        <v>4.3854694293170168E-2</v>
      </c>
      <c r="H12">
        <f t="shared" si="1"/>
        <v>0.40149279553226247</v>
      </c>
      <c r="I12">
        <f t="shared" si="2"/>
        <v>4.3854694293170168E-2</v>
      </c>
    </row>
    <row r="13" spans="1:9" x14ac:dyDescent="0.3">
      <c r="F13">
        <v>80</v>
      </c>
      <c r="G13">
        <f t="shared" si="0"/>
        <v>4.5229338767812363E-2</v>
      </c>
      <c r="H13">
        <f t="shared" si="1"/>
        <v>0.49095258101213241</v>
      </c>
      <c r="I13">
        <f t="shared" si="2"/>
        <v>-100</v>
      </c>
    </row>
    <row r="14" spans="1:9" x14ac:dyDescent="0.3">
      <c r="F14">
        <v>82</v>
      </c>
      <c r="G14">
        <f t="shared" si="0"/>
        <v>4.4308203139944907E-2</v>
      </c>
      <c r="H14">
        <f t="shared" si="1"/>
        <v>0.58087175680708669</v>
      </c>
      <c r="I14">
        <f t="shared" si="2"/>
        <v>-100</v>
      </c>
    </row>
    <row r="15" spans="1:9" x14ac:dyDescent="0.3">
      <c r="F15">
        <v>84</v>
      </c>
      <c r="G15">
        <f t="shared" si="0"/>
        <v>4.1229473279554708E-2</v>
      </c>
      <c r="H15">
        <f t="shared" si="1"/>
        <v>0.66673991129918897</v>
      </c>
      <c r="I15">
        <f t="shared" si="2"/>
        <v>-100</v>
      </c>
    </row>
    <row r="16" spans="1:9" x14ac:dyDescent="0.3">
      <c r="F16">
        <v>86</v>
      </c>
      <c r="G16">
        <f t="shared" si="0"/>
        <v>3.6441075321911737E-2</v>
      </c>
      <c r="H16">
        <f t="shared" si="1"/>
        <v>0.74464525793796277</v>
      </c>
      <c r="I16">
        <f t="shared" si="2"/>
        <v>-100</v>
      </c>
    </row>
    <row r="17" spans="6:9" x14ac:dyDescent="0.3">
      <c r="F17">
        <v>88</v>
      </c>
      <c r="G17">
        <f t="shared" si="0"/>
        <v>3.0593863878314465E-2</v>
      </c>
      <c r="H17">
        <f t="shared" si="1"/>
        <v>0.81179706058472112</v>
      </c>
      <c r="I17">
        <f t="shared" si="2"/>
        <v>-100</v>
      </c>
    </row>
    <row r="18" spans="6:9" x14ac:dyDescent="0.3">
      <c r="F18">
        <v>90</v>
      </c>
      <c r="G18">
        <f t="shared" si="0"/>
        <v>2.4397044878751821E-2</v>
      </c>
      <c r="H18">
        <f t="shared" si="1"/>
        <v>0.86678953857482732</v>
      </c>
      <c r="I18">
        <f t="shared" si="2"/>
        <v>-100</v>
      </c>
    </row>
    <row r="19" spans="6:9" x14ac:dyDescent="0.3">
      <c r="F19">
        <v>92</v>
      </c>
      <c r="G19">
        <f t="shared" si="0"/>
        <v>1.8479910731590301E-2</v>
      </c>
      <c r="H19">
        <f t="shared" si="1"/>
        <v>0.90957576732380951</v>
      </c>
      <c r="I19">
        <f t="shared" si="2"/>
        <v>-100</v>
      </c>
    </row>
    <row r="20" spans="6:9" x14ac:dyDescent="0.3">
      <c r="F20">
        <v>94</v>
      </c>
      <c r="G20">
        <f t="shared" si="0"/>
        <v>1.329603843282488E-2</v>
      </c>
      <c r="H20">
        <f>_xlfn.NORM.DIST(F20,$C$3,$D$3,TRUE)</f>
        <v>0.94120289193855367</v>
      </c>
      <c r="I20">
        <f t="shared" si="2"/>
        <v>-100</v>
      </c>
    </row>
    <row r="21" spans="6:9" x14ac:dyDescent="0.3">
      <c r="F21">
        <v>96</v>
      </c>
      <c r="G21">
        <f t="shared" si="0"/>
        <v>9.0866626217385119E-3</v>
      </c>
      <c r="H21">
        <f t="shared" si="1"/>
        <v>0.96341400102571972</v>
      </c>
      <c r="I21">
        <f t="shared" si="2"/>
        <v>-100</v>
      </c>
    </row>
    <row r="22" spans="6:9" x14ac:dyDescent="0.3">
      <c r="F22">
        <v>98</v>
      </c>
      <c r="G22">
        <f t="shared" si="0"/>
        <v>5.8985639738174077E-3</v>
      </c>
      <c r="H22">
        <f t="shared" si="1"/>
        <v>0.97823356556745322</v>
      </c>
      <c r="I22">
        <f t="shared" si="2"/>
        <v>-100</v>
      </c>
    </row>
    <row r="23" spans="6:9" x14ac:dyDescent="0.3">
      <c r="F23">
        <v>100</v>
      </c>
      <c r="G23">
        <f>_xlfn.NORM.DIST(F23,$C$3,$D$3,FALSE)</f>
        <v>3.637038793769809E-3</v>
      </c>
      <c r="H23">
        <f t="shared" si="1"/>
        <v>0.98762766397680057</v>
      </c>
      <c r="I23">
        <f t="shared" si="2"/>
        <v>-100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PATIL</dc:creator>
  <cp:lastModifiedBy>ANIL PATIL</cp:lastModifiedBy>
  <dcterms:created xsi:type="dcterms:W3CDTF">2025-01-23T17:58:47Z</dcterms:created>
  <dcterms:modified xsi:type="dcterms:W3CDTF">2025-01-23T19:43:30Z</dcterms:modified>
</cp:coreProperties>
</file>