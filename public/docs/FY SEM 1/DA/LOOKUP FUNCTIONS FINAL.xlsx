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\ABHI\VIT\DA\"/>
    </mc:Choice>
  </mc:AlternateContent>
  <xr:revisionPtr revIDLastSave="0" documentId="13_ncr:1_{C241314D-64AF-4362-BB6B-5CA0E41C1440}" xr6:coauthVersionLast="47" xr6:coauthVersionMax="47" xr10:uidLastSave="{00000000-0000-0000-0000-000000000000}"/>
  <bookViews>
    <workbookView xWindow="-108" yWindow="-108" windowWidth="23256" windowHeight="12456" firstSheet="1" activeTab="4" xr2:uid="{24893351-9ADC-4AB5-8C16-C86CD93CAD88}"/>
  </bookViews>
  <sheets>
    <sheet name="VLOOKUP (EXACT)" sheetId="1" r:id="rId1"/>
    <sheet name="VLOOKUP (APPROXIMATE)" sheetId="2" r:id="rId2"/>
    <sheet name="XLOOKUP" sheetId="3" r:id="rId3"/>
    <sheet name="XLOOKUP (NOT FOUND)" sheetId="4" r:id="rId4"/>
    <sheet name="RETRIEVE PAY FROM LAST NAM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 a="1"/>
  <c r="G2" i="4" s="1"/>
  <c r="G12" i="4" a="1"/>
  <c r="G12" i="4" s="1"/>
  <c r="H3" i="4" a="1"/>
  <c r="H3" i="4"/>
  <c r="H4" i="4" a="1"/>
  <c r="H4" i="4"/>
  <c r="H5" i="4" a="1"/>
  <c r="H5" i="4"/>
  <c r="H6" i="4" a="1"/>
  <c r="H6" i="4"/>
  <c r="H7" i="4" a="1"/>
  <c r="H7" i="4"/>
  <c r="H8" i="4" a="1"/>
  <c r="H8" i="4"/>
  <c r="H9" i="4" a="1"/>
  <c r="H9" i="4"/>
  <c r="H10" i="4" a="1"/>
  <c r="H10" i="4"/>
  <c r="H11" i="4" a="1"/>
  <c r="H11" i="4"/>
  <c r="H12" i="4" a="1"/>
  <c r="H12" i="4"/>
  <c r="H2" i="4" a="1"/>
  <c r="H2" i="4"/>
  <c r="G3" i="4" a="1"/>
  <c r="G3" i="4"/>
  <c r="G4" i="4" a="1"/>
  <c r="G4" i="4"/>
  <c r="G5" i="4" a="1"/>
  <c r="G5" i="4"/>
  <c r="G6" i="4" a="1"/>
  <c r="G6" i="4"/>
  <c r="G7" i="4" a="1"/>
  <c r="G7" i="4"/>
  <c r="G8" i="4" a="1"/>
  <c r="G8" i="4"/>
  <c r="G9" i="4" a="1"/>
  <c r="G9" i="4"/>
  <c r="G10" i="4" a="1"/>
  <c r="G10" i="4"/>
  <c r="G11" i="4" a="1"/>
  <c r="G11" i="4"/>
  <c r="H2" i="3"/>
  <c r="H3" i="3"/>
  <c r="H4" i="3"/>
  <c r="H5" i="3"/>
  <c r="H6" i="3"/>
  <c r="H7" i="3"/>
  <c r="H8" i="3"/>
  <c r="H9" i="3"/>
  <c r="H10" i="3"/>
  <c r="H11" i="3"/>
  <c r="G2" i="3"/>
  <c r="G3" i="3"/>
  <c r="G4" i="3"/>
  <c r="G5" i="3"/>
  <c r="G6" i="3"/>
  <c r="G7" i="3"/>
  <c r="G8" i="3"/>
  <c r="G9" i="3"/>
  <c r="G10" i="3"/>
  <c r="G11" i="3"/>
  <c r="H2" i="2"/>
  <c r="H3" i="2"/>
  <c r="H4" i="2"/>
  <c r="H5" i="2"/>
  <c r="H6" i="2"/>
  <c r="H7" i="2"/>
  <c r="H8" i="2"/>
  <c r="H9" i="2"/>
  <c r="H10" i="2"/>
  <c r="H11" i="2"/>
  <c r="G2" i="2"/>
  <c r="G3" i="2"/>
  <c r="G4" i="2"/>
  <c r="G5" i="2"/>
  <c r="G6" i="2"/>
  <c r="G7" i="2"/>
  <c r="G8" i="2"/>
  <c r="G9" i="2"/>
  <c r="G10" i="2"/>
  <c r="G11" i="2"/>
  <c r="H11" i="1"/>
  <c r="H10" i="1"/>
  <c r="H9" i="1"/>
  <c r="H8" i="1"/>
  <c r="H7" i="1"/>
  <c r="H6" i="1"/>
  <c r="H5" i="1"/>
  <c r="H4" i="1"/>
  <c r="H3" i="1"/>
  <c r="H2" i="1"/>
  <c r="G2" i="1"/>
  <c r="G3" i="1"/>
  <c r="G4" i="1"/>
  <c r="G5" i="1"/>
  <c r="G6" i="1"/>
  <c r="G7" i="1"/>
  <c r="G8" i="1"/>
  <c r="G9" i="1"/>
  <c r="G10" i="1"/>
  <c r="G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<sst xmlns="http://schemas.openxmlformats.org/spreadsheetml/2006/main" count="138" uniqueCount="26">
  <si>
    <t>Employee ID</t>
  </si>
  <si>
    <t>First Name</t>
  </si>
  <si>
    <t>Last Name</t>
  </si>
  <si>
    <t>Ananya</t>
  </si>
  <si>
    <t>Gupta</t>
  </si>
  <si>
    <t>Aditya</t>
  </si>
  <si>
    <t>Priya</t>
  </si>
  <si>
    <t>Mehta</t>
  </si>
  <si>
    <t>Rohan</t>
  </si>
  <si>
    <t>Iyer</t>
  </si>
  <si>
    <t>Sneha</t>
  </si>
  <si>
    <t>Nair</t>
  </si>
  <si>
    <t>Karan</t>
  </si>
  <si>
    <t>Khanna</t>
  </si>
  <si>
    <t>Kavya</t>
  </si>
  <si>
    <t>Mishra</t>
  </si>
  <si>
    <t>Arjun</t>
  </si>
  <si>
    <t>Chatterjee</t>
  </si>
  <si>
    <t>Nisha</t>
  </si>
  <si>
    <t>Pay</t>
  </si>
  <si>
    <t>Patil</t>
  </si>
  <si>
    <t>Kachwaha</t>
  </si>
  <si>
    <t>Abhishek</t>
  </si>
  <si>
    <t>PAY</t>
  </si>
  <si>
    <t>=XLOOKUP("Doe", EmployeeTable[Last Name], EmployeeTable[Pay], "Not Found")</t>
  </si>
  <si>
    <t>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</si>
</sst>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5"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0E6F4-18E4-49C1-8563-AB1BDDDCCB2B}" name="Table1" displayName="Table1" ref="A1:C11" totalsRowShown="0" headerRowDxfId="51" dataDxfId="50">
  <autoFilter ref="A1:C11" xr:uid="{5B10E6F4-18E4-49C1-8563-AB1BDDDCCB2B}"/>
  <tableColumns count="3">
    <tableColumn id="1" xr3:uid="{13875DA1-50A4-46C1-B5F6-5E67D7C166A1}" name="Employee ID" dataDxfId="54"/>
    <tableColumn id="2" xr3:uid="{81F8C6B6-CE50-4C2E-9A3E-1AEDB767B25E}" name="First Name" dataDxfId="53"/>
    <tableColumn id="3" xr3:uid="{558084B5-4F95-44F8-B7CD-621543904824}" name="Last Name" dataDxfId="52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DF2F8-0BC2-4EC9-8919-761B818A53C7}" name="Table2" displayName="Table2" ref="E1:H11" totalsRowShown="0" headerRowDxfId="47" dataDxfId="46">
  <autoFilter ref="E1:H11" xr:uid="{E5EDF2F8-0BC2-4EC9-8919-761B818A53C7}"/>
  <tableColumns count="4">
    <tableColumn id="1" xr3:uid="{BA55DC67-8D4C-4C61-A9B7-F88B49135771}" name="Employee ID" dataDxfId="49"/>
    <tableColumn id="2" xr3:uid="{5B753FE5-F472-4D24-AFB4-E4D86E0A083E}" name="Pay" dataDxfId="48"/>
    <tableColumn id="3" xr3:uid="{96A1B690-D1DC-47F4-B017-A74F104A2879}" name="First Name" dataDxfId="36">
      <calculatedColumnFormula>VLOOKUP(E2, A2:C4, 2, FALSE)</calculatedColumnFormula>
    </tableColumn>
    <tableColumn id="4" xr3:uid="{21087636-69AD-4D79-A0CE-27438F94C401}" name="Last Name" dataDxfId="35">
      <calculatedColumnFormula>VLOOKUP(E2, A2:C4, 3, FALSE)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CF9CCA-36FC-4735-AC5B-2E94E6BC4DEC}" name="Table14" displayName="Table14" ref="A1:C11" totalsRowShown="0" headerRowDxfId="42" dataDxfId="41">
  <autoFilter ref="A1:C11" xr:uid="{F3CF9CCA-36FC-4735-AC5B-2E94E6BC4DEC}"/>
  <tableColumns count="3">
    <tableColumn id="1" xr3:uid="{B42CCC44-F6C4-444A-8FD3-2A22C3D893B2}" name="Employee ID" dataDxfId="45"/>
    <tableColumn id="2" xr3:uid="{31EB4417-1BED-461A-93EF-0037D153A9E5}" name="First Name" dataDxfId="44"/>
    <tableColumn id="3" xr3:uid="{76C4B4A7-03FF-45CD-A7C0-05042F9211CF}" name="Last Name" dataDxfId="43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1E6513-09B4-4D15-B959-06ECB0345BB7}" name="Table25" displayName="Table25" ref="E1:H11" totalsRowShown="0" headerRowDxfId="38" dataDxfId="37">
  <autoFilter ref="E1:H11" xr:uid="{5E1E6513-09B4-4D15-B959-06ECB0345BB7}"/>
  <tableColumns count="4">
    <tableColumn id="1" xr3:uid="{4CF7AE60-AD89-498D-8B8B-97C995E8BE64}" name="Employee ID" dataDxfId="40"/>
    <tableColumn id="2" xr3:uid="{54BE9A14-F7D9-44F1-80C9-CA99AA184667}" name="Pay" dataDxfId="39"/>
    <tableColumn id="3" xr3:uid="{DAD70DC4-8146-4822-B7A0-0D5820324DA8}" name="First Name" dataDxfId="34">
      <calculatedColumnFormula>VLOOKUP(E2, A2:C4, 2, TRUE)</calculatedColumnFormula>
    </tableColumn>
    <tableColumn id="4" xr3:uid="{96FAA9EC-676E-4FAE-94CE-BD9EAFF9DC94}" name="Last Name" dataDxfId="33">
      <calculatedColumnFormula>VLOOKUP(E2, A1:C3, 3, TRUE)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9B4D84-F073-44C5-88C4-2DB35BE2C0D7}" name="Table16" displayName="Table16" ref="A1:C11" totalsRowShown="0" headerRowDxfId="29" dataDxfId="28">
  <autoFilter ref="A1:C11" xr:uid="{019B4D84-F073-44C5-88C4-2DB35BE2C0D7}"/>
  <tableColumns count="3">
    <tableColumn id="1" xr3:uid="{0409219E-4015-4B01-8987-5CD86D705753}" name="Employee ID" dataDxfId="32"/>
    <tableColumn id="2" xr3:uid="{510B493C-5555-488F-970F-44AF0325B62A}" name="First Name" dataDxfId="31"/>
    <tableColumn id="3" xr3:uid="{3D6DEE68-5783-4372-B09B-0C0D6C41DE2F}" name="Last Name" dataDxfId="30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7326BF-ECA9-42B8-A6A4-4FE9A8CE3AC0}" name="Table6" displayName="Table6" ref="E1:H11" totalsRowShown="0" headerRowDxfId="25" dataDxfId="24">
  <autoFilter ref="E1:H11" xr:uid="{987326BF-ECA9-42B8-A6A4-4FE9A8CE3AC0}"/>
  <tableColumns count="4">
    <tableColumn id="1" xr3:uid="{DF195E3D-A590-4C2B-BE28-355621052FE1}" name="Employee ID" dataDxfId="27"/>
    <tableColumn id="2" xr3:uid="{00A647FB-CF8A-49DD-A541-B9C4D76E7D2C}" name="Pay" dataDxfId="26"/>
    <tableColumn id="3" xr3:uid="{0D3DAD54-8F17-48B0-8501-179813E40A14}" name="First Name" dataDxfId="23">
      <calculatedColumnFormula>_xlfn.XLOOKUP(E2, A2:A4, B2:B4)</calculatedColumnFormula>
    </tableColumn>
    <tableColumn id="4" xr3:uid="{72EB3ABC-6E3F-486D-AD3F-0278DDA4A637}" name="Last Name" dataDxfId="22">
      <calculatedColumnFormula>_xlfn.XLOOKUP(E2, A2:A4, C2:C4)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0A84A7-4C0A-47C2-AE5C-EFC4CB547C4C}" name="Table168" displayName="Table168" ref="A1:C11" totalsRowShown="0" headerRowDxfId="18" dataDxfId="17">
  <autoFilter ref="A1:C11" xr:uid="{F60A84A7-4C0A-47C2-AE5C-EFC4CB547C4C}"/>
  <tableColumns count="3">
    <tableColumn id="1" xr3:uid="{93178211-03E1-4220-B662-27E6D148AE7A}" name="Employee ID" dataDxfId="21"/>
    <tableColumn id="2" xr3:uid="{252BC6A7-37B6-4B89-BD0A-9D97E76CF26E}" name="First Name" dataDxfId="20"/>
    <tableColumn id="3" xr3:uid="{5F840E67-8CF8-428D-828A-AA4E1DE911E8}" name="Last Name" dataDxfId="19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F73A2D-4F42-4891-9C4C-FAF12A6BC90F}" name="Table8" displayName="Table8" ref="E1:H12" totalsRowShown="0" headerRowDxfId="14" dataDxfId="13">
  <autoFilter ref="E1:H12" xr:uid="{F6F73A2D-4F42-4891-9C4C-FAF12A6BC90F}"/>
  <tableColumns count="4">
    <tableColumn id="1" xr3:uid="{FB1E458B-5663-44A2-80AC-621A1C508CA2}" name="Employee ID" dataDxfId="16"/>
    <tableColumn id="2" xr3:uid="{FA65D57E-1593-442C-81B1-D491DCFD54B2}" name="Pay" dataDxfId="15"/>
    <tableColumn id="3" xr3:uid="{CD9FCAA1-867A-495D-99D5-83B9EB13CF10}" name="First Name" dataDxfId="11">
      <calculatedColumnFormula array="1">_xlfn.XLOOKUP(A2,Table168[[#All],[Employee ID]], Table168[[#All],[First Name]], "NOT FOUND")</calculatedColumnFormula>
    </tableColumn>
    <tableColumn id="4" xr3:uid="{DA1FAF79-41F5-4804-8F19-D60612B7CE24}" name="Last Name" dataDxfId="12">
      <calculatedColumnFormula array="1">_xlfn.XLOOKUP(A2, Table168[[#All],[Employee ID]], Table168[[#All],[Last Name]],"NOT FOUND")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C2E12E-882F-46F2-AC57-4B2256CEDD1A}" name="Table16810" displayName="Table16810" ref="A1:C11" totalsRowShown="0" headerRowDxfId="7" dataDxfId="6">
  <autoFilter ref="A1:C11" xr:uid="{44C2E12E-882F-46F2-AC57-4B2256CEDD1A}"/>
  <tableColumns count="3">
    <tableColumn id="1" xr3:uid="{5A0D2BDA-1079-4025-B112-BD994B083CD6}" name="Employee ID" dataDxfId="10"/>
    <tableColumn id="2" xr3:uid="{B9DD7214-9614-4636-B393-AEF70B77E5F2}" name="First Name" dataDxfId="9"/>
    <tableColumn id="3" xr3:uid="{645DED53-6FAA-4BCA-8318-C595B407B246}" name="Last Name" dataDxfId="8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EA5C4A-0411-4B8C-B720-6FA8B79372E4}" name="Table2511" displayName="Table2511" ref="E1:H11" totalsRowShown="0" headerRowDxfId="1" dataDxfId="0">
  <autoFilter ref="E1:H11" xr:uid="{65EA5C4A-0411-4B8C-B720-6FA8B79372E4}"/>
  <tableColumns count="4">
    <tableColumn id="1" xr3:uid="{511F3728-3DDA-4256-940F-D5923641DC91}" name="Employee ID" dataDxfId="5"/>
    <tableColumn id="2" xr3:uid="{249C6110-EE89-4793-8F08-E81DE49C3130}" name="Pay" dataDxfId="4"/>
    <tableColumn id="3" xr3:uid="{1E076D3D-7765-4C88-93D6-72FE043BF82E}" name="First Name" dataDxfId="3"/>
    <tableColumn id="4" xr3:uid="{701B3453-93AF-4E3D-BC20-EE6307DC69BD}" name="Last Nam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C6E4-2765-4FC0-A5C7-93E5FCFB1D6D}">
  <dimension ref="A1:H11"/>
  <sheetViews>
    <sheetView workbookViewId="0">
      <selection activeCell="A28" sqref="A28"/>
    </sheetView>
  </sheetViews>
  <sheetFormatPr defaultRowHeight="14.4" x14ac:dyDescent="0.3"/>
  <cols>
    <col min="1" max="1" width="19" customWidth="1"/>
    <col min="2" max="2" width="16.6640625" customWidth="1"/>
    <col min="3" max="3" width="16.88671875" customWidth="1"/>
    <col min="5" max="5" width="18.6640625" customWidth="1"/>
    <col min="6" max="6" width="14.44140625" customWidth="1"/>
    <col min="7" max="7" width="18.21875" customWidth="1"/>
    <col min="8" max="8" width="19.88671875" customWidth="1"/>
  </cols>
  <sheetData>
    <row r="1" spans="1:8" x14ac:dyDescent="0.3">
      <c r="A1" s="3" t="s">
        <v>0</v>
      </c>
      <c r="B1" s="3" t="s">
        <v>1</v>
      </c>
      <c r="C1" s="3" t="s">
        <v>2</v>
      </c>
      <c r="E1" s="2" t="s">
        <v>0</v>
      </c>
      <c r="F1" s="2" t="s">
        <v>19</v>
      </c>
      <c r="G1" s="2" t="s">
        <v>1</v>
      </c>
      <c r="H1" s="2" t="s">
        <v>2</v>
      </c>
    </row>
    <row r="2" spans="1:8" x14ac:dyDescent="0.3">
      <c r="A2" s="5">
        <v>101</v>
      </c>
      <c r="B2" s="5" t="s">
        <v>22</v>
      </c>
      <c r="C2" s="5" t="s">
        <v>20</v>
      </c>
      <c r="E2" s="1">
        <v>101</v>
      </c>
      <c r="F2" s="1">
        <v>5000</v>
      </c>
      <c r="G2" s="1" t="str">
        <f t="shared" ref="G2:G11" si="0">VLOOKUP(E2, A2:C4, 2, FALSE)</f>
        <v>Abhishek</v>
      </c>
      <c r="H2" s="1" t="str">
        <f t="shared" ref="H2:H11" si="1">VLOOKUP(E2, A2:C4, 3, FALSE)</f>
        <v>Patil</v>
      </c>
    </row>
    <row r="3" spans="1:8" x14ac:dyDescent="0.3">
      <c r="A3" s="5">
        <v>102</v>
      </c>
      <c r="B3" s="5" t="s">
        <v>3</v>
      </c>
      <c r="C3" s="5" t="s">
        <v>4</v>
      </c>
      <c r="E3" s="1">
        <v>102</v>
      </c>
      <c r="F3" s="1">
        <v>4800</v>
      </c>
      <c r="G3" s="1" t="str">
        <f t="shared" si="0"/>
        <v>Ananya</v>
      </c>
      <c r="H3" s="1" t="str">
        <f t="shared" si="1"/>
        <v>Gupta</v>
      </c>
    </row>
    <row r="4" spans="1:8" x14ac:dyDescent="0.3">
      <c r="A4" s="5">
        <v>103</v>
      </c>
      <c r="B4" s="5" t="s">
        <v>5</v>
      </c>
      <c r="C4" s="5" t="s">
        <v>21</v>
      </c>
      <c r="E4" s="1">
        <v>103</v>
      </c>
      <c r="F4" s="1">
        <v>5200</v>
      </c>
      <c r="G4" s="1" t="str">
        <f t="shared" si="0"/>
        <v>Aditya</v>
      </c>
      <c r="H4" s="1" t="str">
        <f t="shared" si="1"/>
        <v>Kachwaha</v>
      </c>
    </row>
    <row r="5" spans="1:8" x14ac:dyDescent="0.3">
      <c r="A5" s="5">
        <v>104</v>
      </c>
      <c r="B5" s="5" t="s">
        <v>6</v>
      </c>
      <c r="C5" s="5" t="s">
        <v>7</v>
      </c>
      <c r="E5" s="1">
        <v>104</v>
      </c>
      <c r="F5" s="1">
        <v>5500</v>
      </c>
      <c r="G5" s="1" t="str">
        <f t="shared" si="0"/>
        <v>Priya</v>
      </c>
      <c r="H5" s="1" t="str">
        <f t="shared" si="1"/>
        <v>Mehta</v>
      </c>
    </row>
    <row r="6" spans="1:8" x14ac:dyDescent="0.3">
      <c r="A6" s="5">
        <v>105</v>
      </c>
      <c r="B6" s="5" t="s">
        <v>8</v>
      </c>
      <c r="C6" s="5" t="s">
        <v>9</v>
      </c>
      <c r="E6" s="1">
        <v>105</v>
      </c>
      <c r="F6" s="1">
        <v>4900</v>
      </c>
      <c r="G6" s="1" t="str">
        <f t="shared" si="0"/>
        <v>Rohan</v>
      </c>
      <c r="H6" s="1" t="str">
        <f t="shared" si="1"/>
        <v>Iyer</v>
      </c>
    </row>
    <row r="7" spans="1:8" x14ac:dyDescent="0.3">
      <c r="A7" s="5">
        <v>106</v>
      </c>
      <c r="B7" s="5" t="s">
        <v>10</v>
      </c>
      <c r="C7" s="5" t="s">
        <v>11</v>
      </c>
      <c r="E7" s="1">
        <v>106</v>
      </c>
      <c r="F7" s="1">
        <v>5300</v>
      </c>
      <c r="G7" s="1" t="str">
        <f t="shared" si="0"/>
        <v>Sneha</v>
      </c>
      <c r="H7" s="1" t="str">
        <f t="shared" si="1"/>
        <v>Nair</v>
      </c>
    </row>
    <row r="8" spans="1:8" x14ac:dyDescent="0.3">
      <c r="A8" s="5">
        <v>107</v>
      </c>
      <c r="B8" s="5" t="s">
        <v>12</v>
      </c>
      <c r="C8" s="5" t="s">
        <v>13</v>
      </c>
      <c r="E8" s="1">
        <v>107</v>
      </c>
      <c r="F8" s="1">
        <v>5100</v>
      </c>
      <c r="G8" s="1" t="str">
        <f t="shared" si="0"/>
        <v>Karan</v>
      </c>
      <c r="H8" s="1" t="str">
        <f t="shared" si="1"/>
        <v>Khanna</v>
      </c>
    </row>
    <row r="9" spans="1:8" x14ac:dyDescent="0.3">
      <c r="A9" s="5">
        <v>108</v>
      </c>
      <c r="B9" s="5" t="s">
        <v>14</v>
      </c>
      <c r="C9" s="5" t="s">
        <v>15</v>
      </c>
      <c r="E9" s="1">
        <v>108</v>
      </c>
      <c r="F9" s="1">
        <v>5400</v>
      </c>
      <c r="G9" s="1" t="str">
        <f t="shared" si="0"/>
        <v>Kavya</v>
      </c>
      <c r="H9" s="1" t="str">
        <f t="shared" si="1"/>
        <v>Mishra</v>
      </c>
    </row>
    <row r="10" spans="1:8" x14ac:dyDescent="0.3">
      <c r="A10" s="5">
        <v>109</v>
      </c>
      <c r="B10" s="5" t="s">
        <v>16</v>
      </c>
      <c r="C10" s="5" t="s">
        <v>17</v>
      </c>
      <c r="E10" s="1">
        <v>109</v>
      </c>
      <c r="F10" s="1">
        <v>4700</v>
      </c>
      <c r="G10" s="1" t="str">
        <f t="shared" si="0"/>
        <v>Arjun</v>
      </c>
      <c r="H10" s="1" t="str">
        <f t="shared" si="1"/>
        <v>Chatterjee</v>
      </c>
    </row>
    <row r="11" spans="1:8" x14ac:dyDescent="0.3">
      <c r="A11" s="5">
        <v>110</v>
      </c>
      <c r="B11" s="5" t="s">
        <v>18</v>
      </c>
      <c r="C11" s="5" t="s">
        <v>20</v>
      </c>
      <c r="E11" s="1">
        <v>110</v>
      </c>
      <c r="F11" s="1">
        <v>5600</v>
      </c>
      <c r="G11" s="1" t="str">
        <f t="shared" si="0"/>
        <v>Nisha</v>
      </c>
      <c r="H11" s="1" t="str">
        <f t="shared" si="1"/>
        <v>Patil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DCDD-03E6-4881-AD98-57AED9BF876E}">
  <dimension ref="A1:H11"/>
  <sheetViews>
    <sheetView workbookViewId="0">
      <selection activeCell="E1" sqref="E1:H11"/>
    </sheetView>
  </sheetViews>
  <sheetFormatPr defaultRowHeight="14.4" x14ac:dyDescent="0.3"/>
  <cols>
    <col min="1" max="1" width="19.109375" customWidth="1"/>
    <col min="2" max="2" width="15.5546875" customWidth="1"/>
    <col min="3" max="3" width="16.88671875" customWidth="1"/>
    <col min="5" max="5" width="23.77734375" customWidth="1"/>
    <col min="6" max="6" width="14.77734375" customWidth="1"/>
    <col min="7" max="7" width="18.33203125" customWidth="1"/>
    <col min="8" max="8" width="22.5546875" customWidth="1"/>
  </cols>
  <sheetData>
    <row r="1" spans="1:8" x14ac:dyDescent="0.3">
      <c r="A1" s="4" t="s">
        <v>0</v>
      </c>
      <c r="B1" s="4" t="s">
        <v>1</v>
      </c>
      <c r="C1" s="4" t="s">
        <v>2</v>
      </c>
      <c r="E1" s="3" t="s">
        <v>0</v>
      </c>
      <c r="F1" s="3" t="s">
        <v>19</v>
      </c>
      <c r="G1" s="3" t="s">
        <v>1</v>
      </c>
      <c r="H1" s="3" t="s">
        <v>2</v>
      </c>
    </row>
    <row r="2" spans="1:8" x14ac:dyDescent="0.3">
      <c r="A2" s="6">
        <v>101</v>
      </c>
      <c r="B2" s="6" t="s">
        <v>22</v>
      </c>
      <c r="C2" s="6" t="s">
        <v>20</v>
      </c>
      <c r="E2" s="5">
        <v>101</v>
      </c>
      <c r="F2" s="5">
        <v>5000</v>
      </c>
      <c r="G2" s="5" t="str">
        <f t="shared" ref="G2:G11" si="0">VLOOKUP(E2, A2:C4, 2, TRUE)</f>
        <v>Abhishek</v>
      </c>
      <c r="H2" s="5" t="str">
        <f t="shared" ref="H2:H11" si="1">VLOOKUP(E2, A1:C3, 3, TRUE)</f>
        <v>Patil</v>
      </c>
    </row>
    <row r="3" spans="1:8" x14ac:dyDescent="0.3">
      <c r="A3" s="6">
        <v>102</v>
      </c>
      <c r="B3" s="6" t="s">
        <v>3</v>
      </c>
      <c r="C3" s="6" t="s">
        <v>4</v>
      </c>
      <c r="E3" s="5">
        <v>102</v>
      </c>
      <c r="F3" s="5">
        <v>4800</v>
      </c>
      <c r="G3" s="5" t="str">
        <f t="shared" si="0"/>
        <v>Ananya</v>
      </c>
      <c r="H3" s="5" t="str">
        <f t="shared" si="1"/>
        <v>Gupta</v>
      </c>
    </row>
    <row r="4" spans="1:8" x14ac:dyDescent="0.3">
      <c r="A4" s="6">
        <v>103</v>
      </c>
      <c r="B4" s="6" t="s">
        <v>5</v>
      </c>
      <c r="C4" s="6" t="s">
        <v>21</v>
      </c>
      <c r="E4" s="5">
        <v>103</v>
      </c>
      <c r="F4" s="5">
        <v>5200</v>
      </c>
      <c r="G4" s="5" t="str">
        <f t="shared" si="0"/>
        <v>Aditya</v>
      </c>
      <c r="H4" s="5" t="str">
        <f t="shared" si="1"/>
        <v>Kachwaha</v>
      </c>
    </row>
    <row r="5" spans="1:8" x14ac:dyDescent="0.3">
      <c r="A5" s="6">
        <v>104</v>
      </c>
      <c r="B5" s="6" t="s">
        <v>6</v>
      </c>
      <c r="C5" s="6" t="s">
        <v>7</v>
      </c>
      <c r="E5" s="5">
        <v>104</v>
      </c>
      <c r="F5" s="5">
        <v>5500</v>
      </c>
      <c r="G5" s="5" t="str">
        <f t="shared" si="0"/>
        <v>Priya</v>
      </c>
      <c r="H5" s="5" t="str">
        <f t="shared" si="1"/>
        <v>Mehta</v>
      </c>
    </row>
    <row r="6" spans="1:8" x14ac:dyDescent="0.3">
      <c r="A6" s="6">
        <v>105</v>
      </c>
      <c r="B6" s="6" t="s">
        <v>8</v>
      </c>
      <c r="C6" s="6" t="s">
        <v>9</v>
      </c>
      <c r="E6" s="5">
        <v>105</v>
      </c>
      <c r="F6" s="5">
        <v>4900</v>
      </c>
      <c r="G6" s="5" t="str">
        <f t="shared" si="0"/>
        <v>Rohan</v>
      </c>
      <c r="H6" s="5" t="str">
        <f t="shared" si="1"/>
        <v>Iyer</v>
      </c>
    </row>
    <row r="7" spans="1:8" x14ac:dyDescent="0.3">
      <c r="A7" s="6">
        <v>106</v>
      </c>
      <c r="B7" s="6" t="s">
        <v>10</v>
      </c>
      <c r="C7" s="6" t="s">
        <v>11</v>
      </c>
      <c r="E7" s="5">
        <v>106</v>
      </c>
      <c r="F7" s="5">
        <v>5300</v>
      </c>
      <c r="G7" s="5" t="str">
        <f t="shared" si="0"/>
        <v>Sneha</v>
      </c>
      <c r="H7" s="5" t="str">
        <f t="shared" si="1"/>
        <v>Nair</v>
      </c>
    </row>
    <row r="8" spans="1:8" x14ac:dyDescent="0.3">
      <c r="A8" s="6">
        <v>107</v>
      </c>
      <c r="B8" s="6" t="s">
        <v>12</v>
      </c>
      <c r="C8" s="6" t="s">
        <v>13</v>
      </c>
      <c r="E8" s="5">
        <v>107</v>
      </c>
      <c r="F8" s="5">
        <v>5100</v>
      </c>
      <c r="G8" s="5" t="str">
        <f t="shared" si="0"/>
        <v>Karan</v>
      </c>
      <c r="H8" s="5" t="str">
        <f t="shared" si="1"/>
        <v>Khanna</v>
      </c>
    </row>
    <row r="9" spans="1:8" x14ac:dyDescent="0.3">
      <c r="A9" s="6">
        <v>108</v>
      </c>
      <c r="B9" s="6" t="s">
        <v>14</v>
      </c>
      <c r="C9" s="6" t="s">
        <v>15</v>
      </c>
      <c r="E9" s="5">
        <v>108</v>
      </c>
      <c r="F9" s="5">
        <v>5400</v>
      </c>
      <c r="G9" s="5" t="str">
        <f t="shared" si="0"/>
        <v>Kavya</v>
      </c>
      <c r="H9" s="5" t="str">
        <f t="shared" si="1"/>
        <v>Mishra</v>
      </c>
    </row>
    <row r="10" spans="1:8" x14ac:dyDescent="0.3">
      <c r="A10" s="6">
        <v>109</v>
      </c>
      <c r="B10" s="6" t="s">
        <v>16</v>
      </c>
      <c r="C10" s="6" t="s">
        <v>17</v>
      </c>
      <c r="E10" s="5">
        <v>109</v>
      </c>
      <c r="F10" s="5">
        <v>4700</v>
      </c>
      <c r="G10" s="5" t="str">
        <f t="shared" si="0"/>
        <v>Arjun</v>
      </c>
      <c r="H10" s="5" t="str">
        <f t="shared" si="1"/>
        <v>Chatterjee</v>
      </c>
    </row>
    <row r="11" spans="1:8" x14ac:dyDescent="0.3">
      <c r="A11" s="6">
        <v>110</v>
      </c>
      <c r="B11" s="6" t="s">
        <v>18</v>
      </c>
      <c r="C11" s="6" t="s">
        <v>20</v>
      </c>
      <c r="E11" s="5">
        <v>110</v>
      </c>
      <c r="F11" s="5">
        <v>5600</v>
      </c>
      <c r="G11" s="5" t="str">
        <f t="shared" si="0"/>
        <v>Nisha</v>
      </c>
      <c r="H11" s="5" t="str">
        <f t="shared" si="1"/>
        <v>Patil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0838-E2E5-4348-94EA-B2CB39CBE44A}">
  <dimension ref="A1:H11"/>
  <sheetViews>
    <sheetView workbookViewId="0">
      <selection sqref="A1:C11"/>
    </sheetView>
  </sheetViews>
  <sheetFormatPr defaultRowHeight="14.4" x14ac:dyDescent="0.3"/>
  <cols>
    <col min="1" max="1" width="19.6640625" style="8" customWidth="1"/>
    <col min="2" max="2" width="16.88671875" style="8" customWidth="1"/>
    <col min="3" max="3" width="20.109375" style="8" customWidth="1"/>
    <col min="4" max="4" width="8.88671875" style="8"/>
    <col min="5" max="5" width="19.44140625" style="8" customWidth="1"/>
    <col min="6" max="6" width="15.5546875" style="8" customWidth="1"/>
    <col min="7" max="7" width="19.5546875" style="8" customWidth="1"/>
    <col min="8" max="8" width="18.33203125" style="8" customWidth="1"/>
    <col min="9" max="16384" width="8.88671875" style="8"/>
  </cols>
  <sheetData>
    <row r="1" spans="1:8" x14ac:dyDescent="0.3">
      <c r="A1" s="4" t="s">
        <v>0</v>
      </c>
      <c r="B1" s="4" t="s">
        <v>1</v>
      </c>
      <c r="C1" s="4" t="s">
        <v>2</v>
      </c>
      <c r="E1" s="3" t="s">
        <v>0</v>
      </c>
      <c r="F1" s="3" t="s">
        <v>19</v>
      </c>
      <c r="G1" s="3" t="s">
        <v>1</v>
      </c>
      <c r="H1" s="3" t="s">
        <v>2</v>
      </c>
    </row>
    <row r="2" spans="1:8" x14ac:dyDescent="0.3">
      <c r="A2" s="6">
        <v>101</v>
      </c>
      <c r="B2" s="6" t="s">
        <v>22</v>
      </c>
      <c r="C2" s="6" t="s">
        <v>20</v>
      </c>
      <c r="E2" s="5">
        <v>101</v>
      </c>
      <c r="F2" s="5">
        <v>5000</v>
      </c>
      <c r="G2" s="5" t="str">
        <f t="shared" ref="G2:G11" si="0">_xlfn.XLOOKUP(E2, A2:A4, B2:B4)</f>
        <v>Abhishek</v>
      </c>
      <c r="H2" s="5" t="str">
        <f t="shared" ref="H2:H11" si="1">_xlfn.XLOOKUP(E2, A2:A4, C2:C4)</f>
        <v>Patil</v>
      </c>
    </row>
    <row r="3" spans="1:8" x14ac:dyDescent="0.3">
      <c r="A3" s="6">
        <v>102</v>
      </c>
      <c r="B3" s="6" t="s">
        <v>3</v>
      </c>
      <c r="C3" s="6" t="s">
        <v>4</v>
      </c>
      <c r="E3" s="5">
        <v>102</v>
      </c>
      <c r="F3" s="5">
        <v>4800</v>
      </c>
      <c r="G3" s="5" t="str">
        <f t="shared" si="0"/>
        <v>Ananya</v>
      </c>
      <c r="H3" s="5" t="str">
        <f t="shared" si="1"/>
        <v>Gupta</v>
      </c>
    </row>
    <row r="4" spans="1:8" x14ac:dyDescent="0.3">
      <c r="A4" s="6">
        <v>103</v>
      </c>
      <c r="B4" s="6" t="s">
        <v>5</v>
      </c>
      <c r="C4" s="6" t="s">
        <v>21</v>
      </c>
      <c r="E4" s="5">
        <v>103</v>
      </c>
      <c r="F4" s="5">
        <v>5200</v>
      </c>
      <c r="G4" s="5" t="str">
        <f t="shared" si="0"/>
        <v>Aditya</v>
      </c>
      <c r="H4" s="5" t="str">
        <f t="shared" si="1"/>
        <v>Kachwaha</v>
      </c>
    </row>
    <row r="5" spans="1:8" x14ac:dyDescent="0.3">
      <c r="A5" s="6">
        <v>104</v>
      </c>
      <c r="B5" s="6" t="s">
        <v>6</v>
      </c>
      <c r="C5" s="6" t="s">
        <v>7</v>
      </c>
      <c r="E5" s="5">
        <v>104</v>
      </c>
      <c r="F5" s="5">
        <v>5500</v>
      </c>
      <c r="G5" s="5" t="str">
        <f t="shared" si="0"/>
        <v>Priya</v>
      </c>
      <c r="H5" s="5" t="str">
        <f t="shared" si="1"/>
        <v>Mehta</v>
      </c>
    </row>
    <row r="6" spans="1:8" x14ac:dyDescent="0.3">
      <c r="A6" s="6">
        <v>105</v>
      </c>
      <c r="B6" s="6" t="s">
        <v>8</v>
      </c>
      <c r="C6" s="6" t="s">
        <v>9</v>
      </c>
      <c r="E6" s="5">
        <v>105</v>
      </c>
      <c r="F6" s="5">
        <v>4900</v>
      </c>
      <c r="G6" s="5" t="str">
        <f t="shared" si="0"/>
        <v>Rohan</v>
      </c>
      <c r="H6" s="5" t="str">
        <f t="shared" si="1"/>
        <v>Iyer</v>
      </c>
    </row>
    <row r="7" spans="1:8" x14ac:dyDescent="0.3">
      <c r="A7" s="6">
        <v>106</v>
      </c>
      <c r="B7" s="6" t="s">
        <v>10</v>
      </c>
      <c r="C7" s="6" t="s">
        <v>11</v>
      </c>
      <c r="E7" s="5">
        <v>106</v>
      </c>
      <c r="F7" s="5">
        <v>5300</v>
      </c>
      <c r="G7" s="5" t="str">
        <f t="shared" si="0"/>
        <v>Sneha</v>
      </c>
      <c r="H7" s="5" t="str">
        <f t="shared" si="1"/>
        <v>Nair</v>
      </c>
    </row>
    <row r="8" spans="1:8" x14ac:dyDescent="0.3">
      <c r="A8" s="6">
        <v>107</v>
      </c>
      <c r="B8" s="6" t="s">
        <v>12</v>
      </c>
      <c r="C8" s="6" t="s">
        <v>13</v>
      </c>
      <c r="E8" s="5">
        <v>107</v>
      </c>
      <c r="F8" s="5">
        <v>5100</v>
      </c>
      <c r="G8" s="5" t="str">
        <f t="shared" si="0"/>
        <v>Karan</v>
      </c>
      <c r="H8" s="5" t="str">
        <f t="shared" si="1"/>
        <v>Khanna</v>
      </c>
    </row>
    <row r="9" spans="1:8" x14ac:dyDescent="0.3">
      <c r="A9" s="6">
        <v>108</v>
      </c>
      <c r="B9" s="6" t="s">
        <v>14</v>
      </c>
      <c r="C9" s="6" t="s">
        <v>15</v>
      </c>
      <c r="E9" s="5">
        <v>108</v>
      </c>
      <c r="F9" s="5">
        <v>5400</v>
      </c>
      <c r="G9" s="5" t="str">
        <f t="shared" si="0"/>
        <v>Kavya</v>
      </c>
      <c r="H9" s="5" t="str">
        <f t="shared" si="1"/>
        <v>Mishra</v>
      </c>
    </row>
    <row r="10" spans="1:8" x14ac:dyDescent="0.3">
      <c r="A10" s="6">
        <v>109</v>
      </c>
      <c r="B10" s="6" t="s">
        <v>16</v>
      </c>
      <c r="C10" s="6" t="s">
        <v>17</v>
      </c>
      <c r="E10" s="5">
        <v>109</v>
      </c>
      <c r="F10" s="5">
        <v>4700</v>
      </c>
      <c r="G10" s="5" t="str">
        <f t="shared" si="0"/>
        <v>Arjun</v>
      </c>
      <c r="H10" s="5" t="str">
        <f t="shared" si="1"/>
        <v>Chatterjee</v>
      </c>
    </row>
    <row r="11" spans="1:8" x14ac:dyDescent="0.3">
      <c r="A11" s="6">
        <v>110</v>
      </c>
      <c r="B11" s="6" t="s">
        <v>18</v>
      </c>
      <c r="C11" s="6" t="s">
        <v>20</v>
      </c>
      <c r="E11" s="5">
        <v>110</v>
      </c>
      <c r="F11" s="5">
        <v>5600</v>
      </c>
      <c r="G11" s="5" t="str">
        <f t="shared" si="0"/>
        <v>Nisha</v>
      </c>
      <c r="H11" s="5" t="str">
        <f t="shared" si="1"/>
        <v>Patil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B5DB-39E5-4750-8494-45EBB5FF2B02}">
  <dimension ref="A1:H12"/>
  <sheetViews>
    <sheetView workbookViewId="0">
      <selection sqref="A1:C11"/>
    </sheetView>
  </sheetViews>
  <sheetFormatPr defaultRowHeight="14.4" x14ac:dyDescent="0.3"/>
  <cols>
    <col min="1" max="1" width="18" style="8" customWidth="1"/>
    <col min="2" max="2" width="20.21875" style="8" customWidth="1"/>
    <col min="3" max="3" width="19.6640625" style="8" customWidth="1"/>
    <col min="4" max="4" width="8.88671875" style="8"/>
    <col min="5" max="5" width="19.88671875" style="8" customWidth="1"/>
    <col min="6" max="6" width="13.21875" style="8" customWidth="1"/>
    <col min="7" max="7" width="17.44140625" style="8" customWidth="1"/>
    <col min="8" max="8" width="17.77734375" style="8" customWidth="1"/>
    <col min="9" max="16384" width="8.88671875" style="8"/>
  </cols>
  <sheetData>
    <row r="1" spans="1:8" x14ac:dyDescent="0.3">
      <c r="A1" s="4" t="s">
        <v>0</v>
      </c>
      <c r="B1" s="4" t="s">
        <v>1</v>
      </c>
      <c r="C1" s="4" t="s">
        <v>2</v>
      </c>
      <c r="E1" s="4" t="s">
        <v>0</v>
      </c>
      <c r="F1" s="4" t="s">
        <v>19</v>
      </c>
      <c r="G1" s="4" t="s">
        <v>1</v>
      </c>
      <c r="H1" s="4" t="s">
        <v>2</v>
      </c>
    </row>
    <row r="2" spans="1:8" x14ac:dyDescent="0.3">
      <c r="A2" s="6">
        <v>101</v>
      </c>
      <c r="B2" s="6" t="s">
        <v>22</v>
      </c>
      <c r="C2" s="6" t="s">
        <v>20</v>
      </c>
      <c r="E2" s="6">
        <v>101</v>
      </c>
      <c r="F2" s="6">
        <v>5000</v>
      </c>
      <c r="G2" s="6" t="str" cm="1">
        <f t="array" ref="G2">_xlfn.XLOOKUP(A2,Table168[[#All],[Employee ID]], Table168[[#All],[First Name]], "NOT FOUND")</f>
        <v>Abhishek</v>
      </c>
      <c r="H2" s="6" t="str" cm="1">
        <f t="array" ref="H2">_xlfn.XLOOKUP(A2, Table168[[#All],[Employee ID]], Table168[[#All],[Last Name]],"NOT FOUND")</f>
        <v>Patil</v>
      </c>
    </row>
    <row r="3" spans="1:8" x14ac:dyDescent="0.3">
      <c r="A3" s="6">
        <v>102</v>
      </c>
      <c r="B3" s="6" t="s">
        <v>3</v>
      </c>
      <c r="C3" s="6" t="s">
        <v>4</v>
      </c>
      <c r="E3" s="6">
        <v>102</v>
      </c>
      <c r="F3" s="6">
        <v>4800</v>
      </c>
      <c r="G3" s="6" t="str" cm="1">
        <f t="array" ref="G3">_xlfn.XLOOKUP(A3,Table168[[#All],[Employee ID]], Table168[[#All],[First Name]], "NOT FOUND")</f>
        <v>Ananya</v>
      </c>
      <c r="H3" s="6" t="str" cm="1">
        <f t="array" ref="H3">_xlfn.XLOOKUP(A3, Table168[[#All],[Employee ID]], Table168[[#All],[Last Name]],"NOT FOUND")</f>
        <v>Gupta</v>
      </c>
    </row>
    <row r="4" spans="1:8" x14ac:dyDescent="0.3">
      <c r="A4" s="6">
        <v>103</v>
      </c>
      <c r="B4" s="6" t="s">
        <v>5</v>
      </c>
      <c r="C4" s="6" t="s">
        <v>21</v>
      </c>
      <c r="E4" s="6">
        <v>103</v>
      </c>
      <c r="F4" s="6">
        <v>5200</v>
      </c>
      <c r="G4" s="6" t="str" cm="1">
        <f t="array" ref="G4">_xlfn.XLOOKUP(A4,Table168[[#All],[Employee ID]], Table168[[#All],[First Name]], "NOT FOUND")</f>
        <v>Aditya</v>
      </c>
      <c r="H4" s="6" t="str" cm="1">
        <f t="array" ref="H4">_xlfn.XLOOKUP(A4, Table168[[#All],[Employee ID]], Table168[[#All],[Last Name]],"NOT FOUND")</f>
        <v>Kachwaha</v>
      </c>
    </row>
    <row r="5" spans="1:8" x14ac:dyDescent="0.3">
      <c r="A5" s="6">
        <v>104</v>
      </c>
      <c r="B5" s="6" t="s">
        <v>6</v>
      </c>
      <c r="C5" s="6" t="s">
        <v>7</v>
      </c>
      <c r="E5" s="6">
        <v>104</v>
      </c>
      <c r="F5" s="6">
        <v>5500</v>
      </c>
      <c r="G5" s="6" t="str" cm="1">
        <f t="array" ref="G5">_xlfn.XLOOKUP(A5,Table168[[#All],[Employee ID]], Table168[[#All],[First Name]], "NOT FOUND")</f>
        <v>Priya</v>
      </c>
      <c r="H5" s="6" t="str" cm="1">
        <f t="array" ref="H5">_xlfn.XLOOKUP(A5, Table168[[#All],[Employee ID]], Table168[[#All],[Last Name]],"NOT FOUND")</f>
        <v>Mehta</v>
      </c>
    </row>
    <row r="6" spans="1:8" x14ac:dyDescent="0.3">
      <c r="A6" s="6">
        <v>105</v>
      </c>
      <c r="B6" s="6" t="s">
        <v>8</v>
      </c>
      <c r="C6" s="6" t="s">
        <v>9</v>
      </c>
      <c r="E6" s="6">
        <v>105</v>
      </c>
      <c r="F6" s="6">
        <v>4900</v>
      </c>
      <c r="G6" s="6" t="str" cm="1">
        <f t="array" ref="G6">_xlfn.XLOOKUP(A6,Table168[[#All],[Employee ID]], Table168[[#All],[First Name]], "NOT FOUND")</f>
        <v>Rohan</v>
      </c>
      <c r="H6" s="6" t="str" cm="1">
        <f t="array" ref="H6">_xlfn.XLOOKUP(A6, Table168[[#All],[Employee ID]], Table168[[#All],[Last Name]],"NOT FOUND")</f>
        <v>Iyer</v>
      </c>
    </row>
    <row r="7" spans="1:8" x14ac:dyDescent="0.3">
      <c r="A7" s="6">
        <v>106</v>
      </c>
      <c r="B7" s="6" t="s">
        <v>10</v>
      </c>
      <c r="C7" s="6" t="s">
        <v>11</v>
      </c>
      <c r="E7" s="6">
        <v>106</v>
      </c>
      <c r="F7" s="6">
        <v>5300</v>
      </c>
      <c r="G7" s="6" t="str" cm="1">
        <f t="array" ref="G7">_xlfn.XLOOKUP(A7,Table168[[#All],[Employee ID]], Table168[[#All],[First Name]], "NOT FOUND")</f>
        <v>Sneha</v>
      </c>
      <c r="H7" s="6" t="str" cm="1">
        <f t="array" ref="H7">_xlfn.XLOOKUP(A7, Table168[[#All],[Employee ID]], Table168[[#All],[Last Name]],"NOT FOUND")</f>
        <v>Nair</v>
      </c>
    </row>
    <row r="8" spans="1:8" x14ac:dyDescent="0.3">
      <c r="A8" s="6">
        <v>107</v>
      </c>
      <c r="B8" s="6" t="s">
        <v>12</v>
      </c>
      <c r="C8" s="6" t="s">
        <v>13</v>
      </c>
      <c r="E8" s="6">
        <v>107</v>
      </c>
      <c r="F8" s="6">
        <v>5100</v>
      </c>
      <c r="G8" s="6" t="str" cm="1">
        <f t="array" ref="G8">_xlfn.XLOOKUP(A8,Table168[[#All],[Employee ID]], Table168[[#All],[First Name]], "NOT FOUND")</f>
        <v>Karan</v>
      </c>
      <c r="H8" s="6" t="str" cm="1">
        <f t="array" ref="H8">_xlfn.XLOOKUP(A8, Table168[[#All],[Employee ID]], Table168[[#All],[Last Name]],"NOT FOUND")</f>
        <v>Khanna</v>
      </c>
    </row>
    <row r="9" spans="1:8" x14ac:dyDescent="0.3">
      <c r="A9" s="6">
        <v>108</v>
      </c>
      <c r="B9" s="6" t="s">
        <v>14</v>
      </c>
      <c r="C9" s="6" t="s">
        <v>15</v>
      </c>
      <c r="E9" s="6">
        <v>108</v>
      </c>
      <c r="F9" s="6">
        <v>5400</v>
      </c>
      <c r="G9" s="6" t="str" cm="1">
        <f t="array" ref="G9">_xlfn.XLOOKUP(A9,Table168[[#All],[Employee ID]], Table168[[#All],[First Name]], "NOT FOUND")</f>
        <v>Kavya</v>
      </c>
      <c r="H9" s="6" t="str" cm="1">
        <f t="array" ref="H9">_xlfn.XLOOKUP(A9, Table168[[#All],[Employee ID]], Table168[[#All],[Last Name]],"NOT FOUND")</f>
        <v>Mishra</v>
      </c>
    </row>
    <row r="10" spans="1:8" x14ac:dyDescent="0.3">
      <c r="A10" s="6">
        <v>109</v>
      </c>
      <c r="B10" s="6" t="s">
        <v>16</v>
      </c>
      <c r="C10" s="6" t="s">
        <v>17</v>
      </c>
      <c r="E10" s="6">
        <v>109</v>
      </c>
      <c r="F10" s="6">
        <v>4700</v>
      </c>
      <c r="G10" s="6" t="str" cm="1">
        <f t="array" ref="G10">_xlfn.XLOOKUP(A10,Table168[[#All],[Employee ID]], Table168[[#All],[First Name]], "NOT FOUND")</f>
        <v>Arjun</v>
      </c>
      <c r="H10" s="6" t="str" cm="1">
        <f t="array" ref="H10">_xlfn.XLOOKUP(A10, Table168[[#All],[Employee ID]], Table168[[#All],[Last Name]],"NOT FOUND")</f>
        <v>Chatterjee</v>
      </c>
    </row>
    <row r="11" spans="1:8" x14ac:dyDescent="0.3">
      <c r="A11" s="6">
        <v>110</v>
      </c>
      <c r="B11" s="6" t="s">
        <v>18</v>
      </c>
      <c r="C11" s="6" t="s">
        <v>20</v>
      </c>
      <c r="E11" s="6">
        <v>110</v>
      </c>
      <c r="F11" s="6">
        <v>5600</v>
      </c>
      <c r="G11" s="6" t="str" cm="1">
        <f t="array" ref="G11">_xlfn.XLOOKUP(A11,Table168[[#All],[Employee ID]], Table168[[#All],[First Name]], "NOT FOUND")</f>
        <v>Nisha</v>
      </c>
      <c r="H11" s="6" t="str" cm="1">
        <f t="array" ref="H11">_xlfn.XLOOKUP(A11, Table168[[#All],[Employee ID]], Table168[[#All],[Last Name]],"NOT FOUND")</f>
        <v>Patil</v>
      </c>
    </row>
    <row r="12" spans="1:8" x14ac:dyDescent="0.3">
      <c r="A12" s="6"/>
      <c r="B12" s="6"/>
      <c r="C12" s="6"/>
      <c r="E12" s="6">
        <v>111</v>
      </c>
      <c r="F12" s="6">
        <v>45435</v>
      </c>
      <c r="G12" s="6" t="str" cm="1">
        <f t="array" ref="G12">_xlfn.XLOOKUP(A12,Table168[[#All],[Employee ID]], Table168[[#All],[First Name]], "NOT FOUND")</f>
        <v>NOT FOUND</v>
      </c>
      <c r="H12" s="6" t="str" cm="1">
        <f t="array" ref="H12">_xlfn.XLOOKUP(A12, Table168[[#All],[Employee ID]], Table168[[#All],[Last Name]],"NOT FOUND")</f>
        <v>NOT FOUND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0C79-5DF6-4E64-8448-7C6570ACC41C}">
  <dimension ref="A1:L11"/>
  <sheetViews>
    <sheetView tabSelected="1" workbookViewId="0">
      <selection activeCell="L5" sqref="L5"/>
    </sheetView>
  </sheetViews>
  <sheetFormatPr defaultRowHeight="14.4" x14ac:dyDescent="0.3"/>
  <cols>
    <col min="1" max="1" width="22.77734375" style="7" customWidth="1"/>
    <col min="2" max="2" width="17.44140625" style="7" customWidth="1"/>
    <col min="3" max="3" width="15.33203125" style="7" customWidth="1"/>
    <col min="4" max="4" width="8.88671875" style="7"/>
    <col min="5" max="5" width="23.44140625" style="7" customWidth="1"/>
    <col min="6" max="6" width="16.44140625" style="7" customWidth="1"/>
    <col min="7" max="7" width="15.5546875" style="7" customWidth="1"/>
    <col min="8" max="8" width="15.77734375" style="7" customWidth="1"/>
    <col min="9" max="9" width="8.88671875" style="7"/>
    <col min="10" max="10" width="15.88671875" style="7" customWidth="1"/>
    <col min="11" max="16384" width="8.88671875" style="7"/>
  </cols>
  <sheetData>
    <row r="1" spans="1:12" x14ac:dyDescent="0.3">
      <c r="A1" s="4" t="s">
        <v>0</v>
      </c>
      <c r="B1" s="4" t="s">
        <v>1</v>
      </c>
      <c r="C1" s="4" t="s">
        <v>2</v>
      </c>
      <c r="E1" s="4" t="s">
        <v>0</v>
      </c>
      <c r="F1" s="4" t="s">
        <v>19</v>
      </c>
      <c r="G1" s="4" t="s">
        <v>1</v>
      </c>
      <c r="H1" s="4" t="s">
        <v>2</v>
      </c>
      <c r="J1" s="9" t="s">
        <v>23</v>
      </c>
    </row>
    <row r="2" spans="1:12" x14ac:dyDescent="0.3">
      <c r="A2" s="6">
        <v>101</v>
      </c>
      <c r="B2" s="6" t="s">
        <v>22</v>
      </c>
      <c r="C2" s="6" t="s">
        <v>20</v>
      </c>
      <c r="E2" s="6">
        <v>101</v>
      </c>
      <c r="F2" s="6">
        <v>5000</v>
      </c>
      <c r="G2" s="6"/>
      <c r="H2" s="6"/>
      <c r="J2" s="7" t="s">
        <v>24</v>
      </c>
    </row>
    <row r="3" spans="1:12" x14ac:dyDescent="0.3">
      <c r="A3" s="6">
        <v>102</v>
      </c>
      <c r="B3" s="6" t="s">
        <v>3</v>
      </c>
      <c r="C3" s="6" t="s">
        <v>4</v>
      </c>
      <c r="E3" s="6">
        <v>102</v>
      </c>
      <c r="F3" s="6">
        <v>4800</v>
      </c>
      <c r="G3" s="6"/>
      <c r="H3" s="6"/>
    </row>
    <row r="4" spans="1:12" x14ac:dyDescent="0.3">
      <c r="A4" s="6">
        <v>103</v>
      </c>
      <c r="B4" s="6" t="s">
        <v>5</v>
      </c>
      <c r="C4" s="6" t="s">
        <v>21</v>
      </c>
      <c r="E4" s="6">
        <v>103</v>
      </c>
      <c r="F4" s="6">
        <v>5200</v>
      </c>
      <c r="G4" s="6"/>
      <c r="H4" s="6"/>
    </row>
    <row r="5" spans="1:12" x14ac:dyDescent="0.3">
      <c r="A5" s="6">
        <v>104</v>
      </c>
      <c r="B5" s="6" t="s">
        <v>6</v>
      </c>
      <c r="C5" s="6" t="s">
        <v>7</v>
      </c>
      <c r="E5" s="6">
        <v>104</v>
      </c>
      <c r="F5" s="6">
        <v>5500</v>
      </c>
      <c r="G5" s="6"/>
      <c r="H5" s="6"/>
      <c r="L5" s="7" t="s">
        <v>25</v>
      </c>
    </row>
    <row r="6" spans="1:12" x14ac:dyDescent="0.3">
      <c r="A6" s="6">
        <v>105</v>
      </c>
      <c r="B6" s="6" t="s">
        <v>8</v>
      </c>
      <c r="C6" s="6" t="s">
        <v>9</v>
      </c>
      <c r="E6" s="6">
        <v>105</v>
      </c>
      <c r="F6" s="6">
        <v>4900</v>
      </c>
      <c r="G6" s="6"/>
      <c r="H6" s="6"/>
    </row>
    <row r="7" spans="1:12" x14ac:dyDescent="0.3">
      <c r="A7" s="6">
        <v>106</v>
      </c>
      <c r="B7" s="6" t="s">
        <v>10</v>
      </c>
      <c r="C7" s="6" t="s">
        <v>11</v>
      </c>
      <c r="E7" s="6">
        <v>106</v>
      </c>
      <c r="F7" s="6">
        <v>5300</v>
      </c>
      <c r="G7" s="6"/>
      <c r="H7" s="6"/>
    </row>
    <row r="8" spans="1:12" x14ac:dyDescent="0.3">
      <c r="A8" s="6">
        <v>107</v>
      </c>
      <c r="B8" s="6" t="s">
        <v>12</v>
      </c>
      <c r="C8" s="6" t="s">
        <v>13</v>
      </c>
      <c r="E8" s="6">
        <v>107</v>
      </c>
      <c r="F8" s="6">
        <v>5100</v>
      </c>
      <c r="G8" s="6"/>
      <c r="H8" s="6"/>
    </row>
    <row r="9" spans="1:12" x14ac:dyDescent="0.3">
      <c r="A9" s="6">
        <v>108</v>
      </c>
      <c r="B9" s="6" t="s">
        <v>14</v>
      </c>
      <c r="C9" s="6" t="s">
        <v>15</v>
      </c>
      <c r="E9" s="6">
        <v>108</v>
      </c>
      <c r="F9" s="6">
        <v>5400</v>
      </c>
      <c r="G9" s="6"/>
      <c r="H9" s="6"/>
    </row>
    <row r="10" spans="1:12" x14ac:dyDescent="0.3">
      <c r="A10" s="6">
        <v>109</v>
      </c>
      <c r="B10" s="6" t="s">
        <v>16</v>
      </c>
      <c r="C10" s="6" t="s">
        <v>17</v>
      </c>
      <c r="E10" s="6">
        <v>109</v>
      </c>
      <c r="F10" s="6">
        <v>4700</v>
      </c>
      <c r="G10" s="6"/>
      <c r="H10" s="6"/>
    </row>
    <row r="11" spans="1:12" x14ac:dyDescent="0.3">
      <c r="A11" s="6">
        <v>110</v>
      </c>
      <c r="B11" s="6" t="s">
        <v>18</v>
      </c>
      <c r="C11" s="6" t="s">
        <v>20</v>
      </c>
      <c r="E11" s="6">
        <v>110</v>
      </c>
      <c r="F11" s="6">
        <v>5600</v>
      </c>
      <c r="G11" s="6"/>
      <c r="H11" s="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 (EXACT)</vt:lpstr>
      <vt:lpstr>VLOOKUP (APPROXIMATE)</vt:lpstr>
      <vt:lpstr>XLOOKUP</vt:lpstr>
      <vt:lpstr>XLOOKUP (NOT FOUND)</vt:lpstr>
      <vt:lpstr>RETRIEVE PAY FROM LAST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PATIL</dc:creator>
  <cp:lastModifiedBy>ANIL PATIL</cp:lastModifiedBy>
  <dcterms:created xsi:type="dcterms:W3CDTF">2024-11-29T10:37:57Z</dcterms:created>
  <dcterms:modified xsi:type="dcterms:W3CDTF">2024-11-29T11:44:53Z</dcterms:modified>
</cp:coreProperties>
</file>